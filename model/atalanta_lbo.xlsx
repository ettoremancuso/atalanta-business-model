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BO" sheetId="1" state="visible" r:id="rId3"/>
    <sheet name="Sens Calc" sheetId="2" state="visible" r:id="rId4"/>
  </sheets>
  <definedNames>
    <definedName function="false" hidden="false" localSheetId="0" name="_xlnm.Print_Area" vbProcedure="false">LBO!$A$1:$K$150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<sst xmlns="http://schemas.openxmlformats.org/spreadsheetml/2006/main" count="197" uniqueCount="142">
  <si>
    <t xml:space="preserve">Atalanta B.C.: the 2022 Pagliuca deal as a holding-company LBO</t>
  </si>
  <si>
    <t xml:space="preserve">EUR millions unless stated. Illustrative model built on public figures; not a valuation of the club.</t>
  </si>
  <si>
    <t xml:space="preserve">Legend:</t>
  </si>
  <si>
    <t xml:space="preserve">Input</t>
  </si>
  <si>
    <t xml:space="preserve">Calculation</t>
  </si>
  <si>
    <t xml:space="preserve">Same-tab link</t>
  </si>
  <si>
    <t xml:space="preserve">Cross-tab link</t>
  </si>
  <si>
    <t xml:space="preserve">Key output</t>
  </si>
  <si>
    <t xml:space="preserve">1. TRANSACTION ASSUMPTIONS</t>
  </si>
  <si>
    <t xml:space="preserve">Source / note</t>
  </si>
  <si>
    <t xml:space="preserve">Entry date (closing, bond issue)</t>
  </si>
  <si>
    <t xml:space="preserve">date</t>
  </si>
  <si>
    <t xml:space="preserve">Spring 2022. BeBeez (2022)</t>
  </si>
  <si>
    <t xml:space="preserve">Club equity value at entry (100%)</t>
  </si>
  <si>
    <t xml:space="preserve">€m</t>
  </si>
  <si>
    <t xml:space="preserve">Mid-point of press range EUR 400-500m. Il Foglio (2022)</t>
  </si>
  <si>
    <t xml:space="preserve">Look-through stake in the club at entry</t>
  </si>
  <si>
    <t xml:space="preserve">%</t>
  </si>
  <si>
    <t xml:space="preserve">55% of La Dea H = about 47% of the club</t>
  </si>
  <si>
    <t xml:space="preserve">Stake in La Dea H at entry</t>
  </si>
  <si>
    <t xml:space="preserve">Calcio e Finanza (2022)</t>
  </si>
  <si>
    <t xml:space="preserve">Stake in La Dea H after follow-on</t>
  </si>
  <si>
    <t xml:space="preserve">After the EUR 72m capital increase. Calcio e Finanza (2025)</t>
  </si>
  <si>
    <t xml:space="preserve">Look-through stake after follow-on</t>
  </si>
  <si>
    <t xml:space="preserve">Holding's stake in the club unchanged</t>
  </si>
  <si>
    <t xml:space="preserve">PIK toggle bond (Athena S.p.A.)</t>
  </si>
  <si>
    <t xml:space="preserve">8% cash / 8.75% PIK, due Apr 2027. InvestireOggi; BeBeez</t>
  </si>
  <si>
    <t xml:space="preserve">PIK rate</t>
  </si>
  <si>
    <t xml:space="preserve">Assumption: interest always paid in kind (no dividends up from the club)</t>
  </si>
  <si>
    <t xml:space="preserve">Vendor loan (Percassi family)</t>
  </si>
  <si>
    <t xml:space="preserve">Calcio e Finanza (2023)</t>
  </si>
  <si>
    <t xml:space="preserve">Vendor loan interest (accrued)</t>
  </si>
  <si>
    <t xml:space="preserve">Assumption: terms not public; bullet repaid at face</t>
  </si>
  <si>
    <t xml:space="preserve">Follow-on date</t>
  </si>
  <si>
    <t xml:space="preserve">Capital increase at La Dea H, January 2025</t>
  </si>
  <si>
    <t xml:space="preserve">Follow-on equity (US share)</t>
  </si>
  <si>
    <t xml:space="preserve">EUR 67m of EUR 72m. Calcio e Finanza (2025)</t>
  </si>
  <si>
    <t xml:space="preserve">Exit date</t>
  </si>
  <si>
    <t xml:space="preserve">Base case: bond maturity</t>
  </si>
  <si>
    <t xml:space="preserve">Exit multiple (EV / LTM revenue)</t>
  </si>
  <si>
    <t xml:space="preserve">x</t>
  </si>
  <si>
    <t xml:space="preserve">2022 entry was about 1.85x 2021 revenue</t>
  </si>
  <si>
    <t xml:space="preserve">Revenue growth after 2024/25 (p.a.)</t>
  </si>
  <si>
    <t xml:space="preserve">Assumption: flat. H1 2025/26 revenue was 15% lower than H1 2024/25</t>
  </si>
  <si>
    <t xml:space="preserve">2. SOURCES &amp; USES AT ENTRY</t>
  </si>
  <si>
    <t xml:space="preserve">Uses</t>
  </si>
  <si>
    <t xml:space="preserve">% total</t>
  </si>
  <si>
    <t xml:space="preserve">x Rev 2021</t>
  </si>
  <si>
    <t xml:space="preserve">Purchase of look-through stake</t>
  </si>
  <si>
    <t xml:space="preserve">Total uses</t>
  </si>
  <si>
    <t xml:space="preserve">Sources</t>
  </si>
  <si>
    <t xml:space="preserve">PIK toggle bond</t>
  </si>
  <si>
    <t xml:space="preserve">Vendor loan</t>
  </si>
  <si>
    <t xml:space="preserve">Sponsor equity (plug, incl. Arctos)</t>
  </si>
  <si>
    <t xml:space="preserve">Total sources</t>
  </si>
  <si>
    <t xml:space="preserve">Entry LTV (holding debt / price)</t>
  </si>
  <si>
    <t xml:space="preserve">Implied entry multiple (EV / 2021 revenue)</t>
  </si>
  <si>
    <t xml:space="preserve">Check: sources - uses (should be zero)</t>
  </si>
  <si>
    <t xml:space="preserve">3. OPERATING MODEL: ATALANTA B.C. (CLUB LEVEL)</t>
  </si>
  <si>
    <t xml:space="preserve">Financial year</t>
  </si>
  <si>
    <t xml:space="preserve">2021A</t>
  </si>
  <si>
    <t xml:space="preserve">2022/23A</t>
  </si>
  <si>
    <t xml:space="preserve">2023/24A</t>
  </si>
  <si>
    <t xml:space="preserve">2024/25A</t>
  </si>
  <si>
    <t xml:space="preserve">2025/26E</t>
  </si>
  <si>
    <t xml:space="preserve">2026/27E</t>
  </si>
  <si>
    <t xml:space="preserve">FY2021 = calendar year; from 2022/23 July-June (Jan-Jun 2022 six-month period omitted)</t>
  </si>
  <si>
    <t xml:space="preserve">Total revenue</t>
  </si>
  <si>
    <t xml:space="preserve">Accounts via Calcio e Finanza; 2022/23 and 2023/24 as restated</t>
  </si>
  <si>
    <t xml:space="preserve">Growth</t>
  </si>
  <si>
    <t xml:space="preserve">of which gains on player disposals</t>
  </si>
  <si>
    <t xml:space="preserve">Calcio e Finanza; QuiFinanza</t>
  </si>
  <si>
    <t xml:space="preserve">Gains as % of revenue</t>
  </si>
  <si>
    <t xml:space="preserve">Structural revenue (ex player trading)</t>
  </si>
  <si>
    <t xml:space="preserve">Net profit</t>
  </si>
  <si>
    <t xml:space="preserve">Net margin</t>
  </si>
  <si>
    <t xml:space="preserve">LTM revenue used at exit (last full year before exit)</t>
  </si>
  <si>
    <t xml:space="preserve">FY2025/26E, the last year closed before an April 2027 exit</t>
  </si>
  <si>
    <t xml:space="preserve">4. HOLDING DEBT SCHEDULE (ATHENA S.P.A.)</t>
  </si>
  <si>
    <t xml:space="preserve">Period end</t>
  </si>
  <si>
    <t xml:space="preserve">Closing, four anniversaries, then the exit date</t>
  </si>
  <si>
    <t xml:space="preserve">Years in period</t>
  </si>
  <si>
    <t xml:space="preserve">Beginning balance</t>
  </si>
  <si>
    <t xml:space="preserve">(+) PIK interest capitalised</t>
  </si>
  <si>
    <t xml:space="preserve">Interest on beginning balance: no circularity</t>
  </si>
  <si>
    <t xml:space="preserve">Ending balance</t>
  </si>
  <si>
    <t xml:space="preserve">(+) Interest accrued</t>
  </si>
  <si>
    <t xml:space="preserve">Total holding debt</t>
  </si>
  <si>
    <t xml:space="preserve">Look-through stake held</t>
  </si>
  <si>
    <t xml:space="preserve">Memo: stake value at exit multiple and exit revenue</t>
  </si>
  <si>
    <t xml:space="preserve">Memo: loan-to-value</t>
  </si>
  <si>
    <t xml:space="preserve">5. RETURNS ANALYSIS (SPONSOR EQUITY)</t>
  </si>
  <si>
    <t xml:space="preserve">LTM revenue at exit</t>
  </si>
  <si>
    <t xml:space="preserve">Club exit value (100%)</t>
  </si>
  <si>
    <t xml:space="preserve">Look-through stake at exit</t>
  </si>
  <si>
    <t xml:space="preserve">Value of sponsor stake</t>
  </si>
  <si>
    <t xml:space="preserve">(-) Holding debt at exit</t>
  </si>
  <si>
    <t xml:space="preserve">Exit equity proceeds (floored at zero)</t>
  </si>
  <si>
    <t xml:space="preserve">Limited liability: the holding's equity cannot go below zero</t>
  </si>
  <si>
    <t xml:space="preserve">Sponsor cash flows</t>
  </si>
  <si>
    <t xml:space="preserve">Date</t>
  </si>
  <si>
    <t xml:space="preserve">Type</t>
  </si>
  <si>
    <t xml:space="preserve">Equity at entry</t>
  </si>
  <si>
    <t xml:space="preserve">Out</t>
  </si>
  <si>
    <t xml:space="preserve">Follow-on equity</t>
  </si>
  <si>
    <t xml:space="preserve">Exit proceeds</t>
  </si>
  <si>
    <t xml:space="preserve">In</t>
  </si>
  <si>
    <t xml:space="preserve">Total equity invested</t>
  </si>
  <si>
    <t xml:space="preserve">MOIC</t>
  </si>
  <si>
    <t xml:space="preserve">IRR</t>
  </si>
  <si>
    <t xml:space="preserve">XIRR on dated cash flows; -100% means the equity is wiped out</t>
  </si>
  <si>
    <t xml:space="preserve">Breakeven club value at exit</t>
  </si>
  <si>
    <t xml:space="preserve">Club value</t>
  </si>
  <si>
    <t xml:space="preserve">x LTM rev</t>
  </si>
  <si>
    <t xml:space="preserve">Holding debt repaid (equity = 0)</t>
  </si>
  <si>
    <t xml:space="preserve">Money back (MOIC 1.0x)</t>
  </si>
  <si>
    <t xml:space="preserve">MOIC 2.0x</t>
  </si>
  <si>
    <t xml:space="preserve">6. SENSITIVITY ANALYSIS (BASE CASE IN THE CENTRE)</t>
  </si>
  <si>
    <t xml:space="preserve">MOIC: entry value of the club vs exit multiple</t>
  </si>
  <si>
    <t xml:space="preserve">Entry value, €m (rows)  \  exit multiple (columns)</t>
  </si>
  <si>
    <t xml:space="preserve">IRR: entry value of the club vs exit multiple</t>
  </si>
  <si>
    <t xml:space="preserve">MOIC: exit date vs exit multiple</t>
  </si>
  <si>
    <t xml:space="preserve">Exit date (rows)  \  exit multiple (columns)</t>
  </si>
  <si>
    <t xml:space="preserve">IRR: exit date vs exit multiple</t>
  </si>
  <si>
    <t xml:space="preserve">Shaded cell = base case; it must equal the MOIC / IRR in section 5. IRR grids use XIRR on the 'Sens Calc' tab.</t>
  </si>
  <si>
    <t xml:space="preserve">7. MODEL CHECKS (ALL SHOULD BE ZERO)</t>
  </si>
  <si>
    <t xml:space="preserve">Sources - uses</t>
  </si>
  <si>
    <t xml:space="preserve">Debt roll-forward: exit balance vs closed form</t>
  </si>
  <si>
    <t xml:space="preserve">MOIC grid centre - section 5 MOIC</t>
  </si>
  <si>
    <t xml:space="preserve">IRR grid centre - section 5 IRR</t>
  </si>
  <si>
    <t xml:space="preserve">All checks pass</t>
  </si>
  <si>
    <t xml:space="preserve">Helper: dated sponsor cash flows behind each IRR sensitivity cell (LBO tab, section 6)</t>
  </si>
  <si>
    <t xml:space="preserve">Each block: three flows (entry equity, follow-on, exit proceeds) and their dates; XIRR in the last row.</t>
  </si>
  <si>
    <t xml:space="preserve">Block for irr_v0</t>
  </si>
  <si>
    <t xml:space="preserve">Row 1: entry equity</t>
  </si>
  <si>
    <t xml:space="preserve">IRR (XIRR)</t>
  </si>
  <si>
    <t xml:space="preserve">Row 2: entry equity</t>
  </si>
  <si>
    <t xml:space="preserve">Row 3: entry equity</t>
  </si>
  <si>
    <t xml:space="preserve">Row 4: entry equity</t>
  </si>
  <si>
    <t xml:space="preserve">Row 5: entry equity</t>
  </si>
  <si>
    <t xml:space="preserve">Block for irr_dt</t>
  </si>
  <si>
    <t xml:space="preserve">Chart labels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</si>
</sst>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-mmm\-yy"/>
    <numFmt numFmtId="166" formatCode="\€#,##0.0;&quot;(€&quot;#,##0.0\);\-"/>
    <numFmt numFmtId="167" formatCode="0.0%;\(0.0%\);\-"/>
    <numFmt numFmtId="168" formatCode="0.00%"/>
    <numFmt numFmtId="169" formatCode="0.00\x"/>
    <numFmt numFmtId="170" formatCode="#,##0.0;\(#,##0.0\);\-"/>
    <numFmt numFmtId="171" formatCode="0.00"/>
    <numFmt numFmtId="172" formatCode="#,##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8"/>
      <color rgb="FF0000FF"/>
      <name val="Arial"/>
      <family val="0"/>
      <charset val="1"/>
    </font>
    <font>
      <sz val="8"/>
      <color rgb="FF000000"/>
      <name val="Arial"/>
      <family val="0"/>
      <charset val="1"/>
    </font>
    <font>
      <sz val="8"/>
      <color rgb="FF800080"/>
      <name val="Arial"/>
      <family val="0"/>
      <charset val="1"/>
    </font>
    <font>
      <sz val="8"/>
      <color rgb="FF008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10"/>
      <color rgb="FF80008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80008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BDD7EE"/>
        <bgColor rgb="FFD9D9D9"/>
      </patternFill>
    </fill>
    <fill>
      <patternFill patternType="solid">
        <fgColor rgb="FF1F4E79"/>
        <bgColor rgb="FF003366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2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7F7F"/>
      <rgbColor rgb="FF800080"/>
      <rgbColor rgb="FF008080"/>
      <rgbColor rgb="FFD9D9D9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Holding debt vs value of the sponsor stake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"Total holding debt"</c:f>
              <c:strCache>
                <c:ptCount val="1"/>
                <c:pt idx="0">
                  <c:v>Total holding debt</c:v>
                </c:pt>
              </c:strCache>
            </c:strRef>
          </c:tx>
          <c:spPr>
            <a:solidFill>
              <a:srgbClr val="1f4e79"/>
            </a:solidFill>
            <a:ln w="2808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'Sens Calc'!$D$70:$I$70</c:f>
              <c:multiLvlStrCache>
                <c:ptCount val="1"/>
                <c:lvl>
                  <c:pt idx="0">
                    <c:v>Apr-27</c:v>
                  </c:pt>
                </c:lvl>
                <c:lvl>
                  <c:pt idx="0">
                    <c:v>Apr-26</c:v>
                  </c:pt>
                </c:lvl>
                <c:lvl>
                  <c:pt idx="0">
                    <c:v>Apr-25</c:v>
                  </c:pt>
                </c:lvl>
                <c:lvl>
                  <c:pt idx="0">
                    <c:v>Apr-24</c:v>
                  </c:pt>
                </c:lvl>
                <c:lvl>
                  <c:pt idx="0">
                    <c:v>Apr-23</c:v>
                  </c:pt>
                </c:lvl>
                <c:lvl>
                  <c:pt idx="0">
                    <c:v>Apr-22</c:v>
                  </c:pt>
                </c:lvl>
              </c:multiLvlStrCache>
            </c:multiLvlStrRef>
          </c:cat>
          <c:val>
            <c:numRef>
              <c:f>LBO!$D$64:$I$64</c:f>
              <c:numCache>
                <c:formatCode>\€#,##0.0;"(€"#,##0.0\);\-</c:formatCode>
                <c:ptCount val="6"/>
                <c:pt idx="0">
                  <c:v>175.5</c:v>
                </c:pt>
                <c:pt idx="1">
                  <c:v>188.834228562273</c:v>
                </c:pt>
                <c:pt idx="2">
                  <c:v>203.375789035624</c:v>
                </c:pt>
                <c:pt idx="3">
                  <c:v>219.147408695305</c:v>
                </c:pt>
                <c:pt idx="4">
                  <c:v>236.29806036377</c:v>
                </c:pt>
                <c:pt idx="5">
                  <c:v>256.498253360363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"Sponsor stake at exit multiple"</c:f>
              <c:strCache>
                <c:ptCount val="1"/>
                <c:pt idx="0">
                  <c:v>Sponsor stake at exit multiple</c:v>
                </c:pt>
              </c:strCache>
            </c:strRef>
          </c:tx>
          <c:spPr>
            <a:solidFill>
              <a:srgbClr val="7f7f7f"/>
            </a:solidFill>
            <a:ln w="2844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'Sens Calc'!$D$70:$I$70</c:f>
              <c:multiLvlStrCache>
                <c:ptCount val="1"/>
                <c:lvl>
                  <c:pt idx="0">
                    <c:v>Apr-27</c:v>
                  </c:pt>
                </c:lvl>
                <c:lvl>
                  <c:pt idx="0">
                    <c:v>Apr-26</c:v>
                  </c:pt>
                </c:lvl>
                <c:lvl>
                  <c:pt idx="0">
                    <c:v>Apr-25</c:v>
                  </c:pt>
                </c:lvl>
                <c:lvl>
                  <c:pt idx="0">
                    <c:v>Apr-24</c:v>
                  </c:pt>
                </c:lvl>
                <c:lvl>
                  <c:pt idx="0">
                    <c:v>Apr-23</c:v>
                  </c:pt>
                </c:lvl>
                <c:lvl>
                  <c:pt idx="0">
                    <c:v>Apr-22</c:v>
                  </c:pt>
                </c:lvl>
              </c:multiLvlStrCache>
            </c:multiLvlStrRef>
          </c:cat>
          <c:val>
            <c:numRef>
              <c:f>LBO!$D$66:$I$66</c:f>
              <c:numCache>
                <c:formatCode>\€#,##0.0;"(€"#,##0.0\);\-</c:formatCode>
                <c:ptCount val="6"/>
                <c:pt idx="0">
                  <c:v>301.552</c:v>
                </c:pt>
                <c:pt idx="1">
                  <c:v>301.552</c:v>
                </c:pt>
                <c:pt idx="2">
                  <c:v>301.552</c:v>
                </c:pt>
                <c:pt idx="3">
                  <c:v>339.931345454545</c:v>
                </c:pt>
                <c:pt idx="4">
                  <c:v>339.931345454545</c:v>
                </c:pt>
                <c:pt idx="5">
                  <c:v>339.931345454545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9713713"/>
        <c:axId val="78679816"/>
      </c:lineChart>
      <c:catAx>
        <c:axId val="197137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679816"/>
        <c:crosses val="autoZero"/>
        <c:auto val="1"/>
        <c:lblAlgn val="ctr"/>
        <c:lblOffset val="100"/>
        <c:noMultiLvlLbl val="0"/>
      </c:catAx>
      <c:valAx>
        <c:axId val="786798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71371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132</xdr:row>
      <xdr:rowOff>160560</xdr:rowOff>
    </xdr:from>
    <xdr:to>
      <xdr:col>6</xdr:col>
      <xdr:colOff>269640</xdr:colOff>
      <xdr:row>146</xdr:row>
      <xdr:rowOff>13320</xdr:rowOff>
    </xdr:to>
    <xdr:graphicFrame>
      <xdr:nvGraphicFramePr>
        <xdr:cNvPr id="0" name="Chart 1"/>
        <xdr:cNvGraphicFramePr/>
      </xdr:nvGraphicFramePr>
      <xdr:xfrm>
        <a:off x="141120" y="25336440"/>
        <a:ext cx="61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1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9" min="4" style="0" width="12"/>
    <col collapsed="false" customWidth="true" hidden="false" outlineLevel="0" max="10" min="10" style="0" width="2"/>
    <col collapsed="false" customWidth="true" hidden="false" outlineLevel="0" max="11" min="11" style="0" width="52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  <c r="D4" s="3" t="s">
        <v>3</v>
      </c>
      <c r="E4" s="4" t="s">
        <v>4</v>
      </c>
      <c r="F4" s="5" t="s">
        <v>5</v>
      </c>
      <c r="G4" s="6" t="s">
        <v>6</v>
      </c>
      <c r="H4" s="7" t="s">
        <v>7</v>
      </c>
    </row>
    <row r="6" customFormat="false" ht="15" hidden="false" customHeight="false" outlineLevel="0" collapsed="false">
      <c r="B6" s="8" t="s">
        <v>8</v>
      </c>
      <c r="C6" s="9"/>
      <c r="D6" s="9"/>
      <c r="E6" s="9"/>
      <c r="F6" s="9"/>
      <c r="G6" s="9"/>
      <c r="H6" s="9"/>
      <c r="I6" s="9"/>
      <c r="K6" s="10" t="s">
        <v>9</v>
      </c>
    </row>
    <row r="7" customFormat="false" ht="15" hidden="false" customHeight="false" outlineLevel="0" collapsed="false">
      <c r="B7" s="11" t="s">
        <v>10</v>
      </c>
      <c r="C7" s="12" t="s">
        <v>11</v>
      </c>
      <c r="D7" s="13" t="n">
        <v>44652</v>
      </c>
      <c r="K7" s="14" t="s">
        <v>12</v>
      </c>
    </row>
    <row r="8" customFormat="false" ht="15" hidden="false" customHeight="false" outlineLevel="0" collapsed="false">
      <c r="B8" s="11" t="s">
        <v>13</v>
      </c>
      <c r="C8" s="12" t="s">
        <v>14</v>
      </c>
      <c r="D8" s="15" t="n">
        <v>450</v>
      </c>
      <c r="K8" s="14" t="s">
        <v>15</v>
      </c>
    </row>
    <row r="9" customFormat="false" ht="15" hidden="false" customHeight="false" outlineLevel="0" collapsed="false">
      <c r="B9" s="11" t="s">
        <v>16</v>
      </c>
      <c r="C9" s="12" t="s">
        <v>17</v>
      </c>
      <c r="D9" s="16" t="n">
        <v>0.47</v>
      </c>
      <c r="K9" s="14" t="s">
        <v>18</v>
      </c>
    </row>
    <row r="10" customFormat="false" ht="15" hidden="false" customHeight="false" outlineLevel="0" collapsed="false">
      <c r="B10" s="11" t="s">
        <v>19</v>
      </c>
      <c r="C10" s="12" t="s">
        <v>17</v>
      </c>
      <c r="D10" s="16" t="n">
        <v>0.55</v>
      </c>
      <c r="K10" s="14" t="s">
        <v>20</v>
      </c>
    </row>
    <row r="11" customFormat="false" ht="15" hidden="false" customHeight="false" outlineLevel="0" collapsed="false">
      <c r="B11" s="11" t="s">
        <v>21</v>
      </c>
      <c r="C11" s="12" t="s">
        <v>17</v>
      </c>
      <c r="D11" s="16" t="n">
        <v>0.62</v>
      </c>
      <c r="K11" s="14" t="s">
        <v>22</v>
      </c>
    </row>
    <row r="12" customFormat="false" ht="15" hidden="false" customHeight="false" outlineLevel="0" collapsed="false">
      <c r="B12" s="11" t="s">
        <v>23</v>
      </c>
      <c r="C12" s="12" t="s">
        <v>17</v>
      </c>
      <c r="D12" s="17" t="n">
        <f aca="false">D9*D11/D10</f>
        <v>0.529818181818182</v>
      </c>
      <c r="K12" s="14" t="s">
        <v>24</v>
      </c>
    </row>
    <row r="13" customFormat="false" ht="15" hidden="false" customHeight="false" outlineLevel="0" collapsed="false">
      <c r="B13" s="11" t="s">
        <v>25</v>
      </c>
      <c r="C13" s="12" t="s">
        <v>14</v>
      </c>
      <c r="D13" s="15" t="n">
        <v>152.5</v>
      </c>
      <c r="K13" s="14" t="s">
        <v>26</v>
      </c>
    </row>
    <row r="14" customFormat="false" ht="15" hidden="false" customHeight="false" outlineLevel="0" collapsed="false">
      <c r="B14" s="11" t="s">
        <v>27</v>
      </c>
      <c r="C14" s="12" t="s">
        <v>17</v>
      </c>
      <c r="D14" s="18" t="n">
        <v>0.0875</v>
      </c>
      <c r="K14" s="14" t="s">
        <v>28</v>
      </c>
    </row>
    <row r="15" customFormat="false" ht="15" hidden="false" customHeight="false" outlineLevel="0" collapsed="false">
      <c r="B15" s="11" t="s">
        <v>29</v>
      </c>
      <c r="C15" s="12" t="s">
        <v>14</v>
      </c>
      <c r="D15" s="15" t="n">
        <v>23</v>
      </c>
      <c r="K15" s="14" t="s">
        <v>30</v>
      </c>
    </row>
    <row r="16" customFormat="false" ht="15" hidden="false" customHeight="false" outlineLevel="0" collapsed="false">
      <c r="B16" s="11" t="s">
        <v>31</v>
      </c>
      <c r="C16" s="12" t="s">
        <v>17</v>
      </c>
      <c r="D16" s="16" t="n">
        <v>0</v>
      </c>
      <c r="K16" s="14" t="s">
        <v>32</v>
      </c>
    </row>
    <row r="17" customFormat="false" ht="15" hidden="false" customHeight="false" outlineLevel="0" collapsed="false">
      <c r="B17" s="11" t="s">
        <v>33</v>
      </c>
      <c r="C17" s="12" t="s">
        <v>11</v>
      </c>
      <c r="D17" s="13" t="n">
        <v>45672</v>
      </c>
      <c r="K17" s="14" t="s">
        <v>34</v>
      </c>
    </row>
    <row r="18" customFormat="false" ht="15" hidden="false" customHeight="false" outlineLevel="0" collapsed="false">
      <c r="B18" s="11" t="s">
        <v>35</v>
      </c>
      <c r="C18" s="12" t="s">
        <v>14</v>
      </c>
      <c r="D18" s="15" t="n">
        <v>67</v>
      </c>
      <c r="K18" s="14" t="s">
        <v>36</v>
      </c>
    </row>
    <row r="19" customFormat="false" ht="15" hidden="false" customHeight="false" outlineLevel="0" collapsed="false">
      <c r="B19" s="11" t="s">
        <v>37</v>
      </c>
      <c r="C19" s="12" t="s">
        <v>11</v>
      </c>
      <c r="D19" s="13" t="n">
        <v>46507</v>
      </c>
      <c r="K19" s="14" t="s">
        <v>38</v>
      </c>
    </row>
    <row r="20" customFormat="false" ht="15" hidden="false" customHeight="false" outlineLevel="0" collapsed="false">
      <c r="B20" s="11" t="s">
        <v>39</v>
      </c>
      <c r="C20" s="12" t="s">
        <v>40</v>
      </c>
      <c r="D20" s="19" t="n">
        <v>2</v>
      </c>
      <c r="K20" s="14" t="s">
        <v>41</v>
      </c>
    </row>
    <row r="21" customFormat="false" ht="15" hidden="false" customHeight="false" outlineLevel="0" collapsed="false">
      <c r="B21" s="11" t="s">
        <v>42</v>
      </c>
      <c r="C21" s="12" t="s">
        <v>17</v>
      </c>
      <c r="D21" s="16" t="n">
        <v>0</v>
      </c>
      <c r="K21" s="14" t="s">
        <v>43</v>
      </c>
    </row>
    <row r="23" customFormat="false" ht="15" hidden="false" customHeight="false" outlineLevel="0" collapsed="false">
      <c r="B23" s="8" t="s">
        <v>44</v>
      </c>
      <c r="C23" s="9"/>
      <c r="D23" s="9"/>
      <c r="E23" s="9"/>
      <c r="F23" s="9"/>
      <c r="G23" s="9"/>
      <c r="H23" s="9"/>
      <c r="I23" s="9"/>
    </row>
    <row r="24" customFormat="false" ht="15" hidden="false" customHeight="false" outlineLevel="0" collapsed="false">
      <c r="B24" s="20" t="s">
        <v>45</v>
      </c>
      <c r="C24" s="21"/>
      <c r="D24" s="22" t="s">
        <v>14</v>
      </c>
      <c r="E24" s="22" t="s">
        <v>46</v>
      </c>
      <c r="F24" s="22" t="s">
        <v>47</v>
      </c>
      <c r="G24" s="21"/>
      <c r="H24" s="21"/>
      <c r="I24" s="21"/>
    </row>
    <row r="25" customFormat="false" ht="15" hidden="false" customHeight="false" outlineLevel="0" collapsed="false">
      <c r="B25" s="23" t="s">
        <v>48</v>
      </c>
      <c r="D25" s="24" t="n">
        <f aca="false">$D$8*$D$9</f>
        <v>211.5</v>
      </c>
      <c r="E25" s="17" t="n">
        <f aca="false">D25/D$26</f>
        <v>1</v>
      </c>
      <c r="F25" s="25" t="n">
        <f aca="false">$D$8/$D$40</f>
        <v>1.85490519373454</v>
      </c>
    </row>
    <row r="26" customFormat="false" ht="15" hidden="false" customHeight="false" outlineLevel="0" collapsed="false">
      <c r="B26" s="26" t="s">
        <v>49</v>
      </c>
      <c r="C26" s="27"/>
      <c r="D26" s="28" t="n">
        <f aca="false">SUM(D25:D25)</f>
        <v>211.5</v>
      </c>
      <c r="E26" s="29" t="n">
        <f aca="false">D26/D$26</f>
        <v>1</v>
      </c>
      <c r="F26" s="30" t="n">
        <f aca="false">$D$8/$D$40</f>
        <v>1.85490519373454</v>
      </c>
    </row>
    <row r="28" customFormat="false" ht="15" hidden="false" customHeight="false" outlineLevel="0" collapsed="false">
      <c r="B28" s="10" t="s">
        <v>50</v>
      </c>
    </row>
    <row r="29" customFormat="false" ht="15" hidden="false" customHeight="false" outlineLevel="0" collapsed="false">
      <c r="B29" s="23" t="s">
        <v>51</v>
      </c>
      <c r="D29" s="31" t="n">
        <f aca="false">$D$13</f>
        <v>152.5</v>
      </c>
      <c r="E29" s="17" t="n">
        <f aca="false">D29/D$32</f>
        <v>0.721040189125296</v>
      </c>
    </row>
    <row r="30" customFormat="false" ht="15" hidden="false" customHeight="false" outlineLevel="0" collapsed="false">
      <c r="B30" s="23" t="s">
        <v>52</v>
      </c>
      <c r="D30" s="31" t="n">
        <f aca="false">$D$15</f>
        <v>23</v>
      </c>
      <c r="E30" s="17" t="n">
        <f aca="false">D30/D$32</f>
        <v>0.108747044917258</v>
      </c>
    </row>
    <row r="31" customFormat="false" ht="15" hidden="false" customHeight="false" outlineLevel="0" collapsed="false">
      <c r="B31" s="23" t="s">
        <v>53</v>
      </c>
      <c r="D31" s="24" t="n">
        <f aca="false">D26-D29-D30</f>
        <v>36</v>
      </c>
      <c r="E31" s="17" t="n">
        <f aca="false">D31/D$32</f>
        <v>0.170212765957447</v>
      </c>
    </row>
    <row r="32" customFormat="false" ht="15" hidden="false" customHeight="false" outlineLevel="0" collapsed="false">
      <c r="B32" s="26" t="s">
        <v>54</v>
      </c>
      <c r="C32" s="27"/>
      <c r="D32" s="28" t="n">
        <f aca="false">SUM(D29:D31)</f>
        <v>211.5</v>
      </c>
      <c r="E32" s="29" t="n">
        <f aca="false">D32/D$32</f>
        <v>1</v>
      </c>
      <c r="F32" s="27"/>
    </row>
    <row r="34" customFormat="false" ht="15" hidden="false" customHeight="false" outlineLevel="0" collapsed="false">
      <c r="B34" s="11" t="s">
        <v>55</v>
      </c>
      <c r="D34" s="32" t="n">
        <f aca="false">(D29+D30)/D26</f>
        <v>0.829787234042553</v>
      </c>
    </row>
    <row r="35" customFormat="false" ht="15" hidden="false" customHeight="false" outlineLevel="0" collapsed="false">
      <c r="B35" s="11" t="s">
        <v>56</v>
      </c>
      <c r="D35" s="25" t="n">
        <f aca="false">$D$8/D40</f>
        <v>1.85490519373454</v>
      </c>
    </row>
    <row r="36" customFormat="false" ht="15" hidden="false" customHeight="false" outlineLevel="0" collapsed="false">
      <c r="B36" s="33" t="s">
        <v>57</v>
      </c>
      <c r="D36" s="34" t="n">
        <f aca="false">D32-D26</f>
        <v>0</v>
      </c>
    </row>
    <row r="38" customFormat="false" ht="15" hidden="false" customHeight="false" outlineLevel="0" collapsed="false">
      <c r="B38" s="8" t="s">
        <v>58</v>
      </c>
      <c r="C38" s="9"/>
      <c r="D38" s="9"/>
      <c r="E38" s="9"/>
      <c r="F38" s="9"/>
      <c r="G38" s="9"/>
      <c r="H38" s="9"/>
      <c r="I38" s="9"/>
    </row>
    <row r="39" customFormat="false" ht="15" hidden="false" customHeight="false" outlineLevel="0" collapsed="false">
      <c r="B39" s="20" t="s">
        <v>59</v>
      </c>
      <c r="C39" s="21"/>
      <c r="D39" s="22" t="s">
        <v>60</v>
      </c>
      <c r="E39" s="22" t="s">
        <v>61</v>
      </c>
      <c r="F39" s="22" t="s">
        <v>62</v>
      </c>
      <c r="G39" s="22" t="s">
        <v>63</v>
      </c>
      <c r="H39" s="22" t="s">
        <v>64</v>
      </c>
      <c r="I39" s="22" t="s">
        <v>65</v>
      </c>
      <c r="K39" s="14" t="s">
        <v>66</v>
      </c>
    </row>
    <row r="40" customFormat="false" ht="15" hidden="false" customHeight="false" outlineLevel="0" collapsed="false">
      <c r="B40" s="11" t="s">
        <v>67</v>
      </c>
      <c r="D40" s="15" t="n">
        <v>242.6</v>
      </c>
      <c r="E40" s="15" t="n">
        <v>193.7</v>
      </c>
      <c r="F40" s="15" t="n">
        <v>243.7</v>
      </c>
      <c r="G40" s="15" t="n">
        <v>320.8</v>
      </c>
      <c r="H40" s="24" t="n">
        <f aca="false">G40*(1+$D$21)</f>
        <v>320.8</v>
      </c>
      <c r="I40" s="24" t="n">
        <f aca="false">H40*(1+$D$21)</f>
        <v>320.8</v>
      </c>
      <c r="K40" s="14" t="s">
        <v>68</v>
      </c>
    </row>
    <row r="41" customFormat="false" ht="15" hidden="false" customHeight="false" outlineLevel="0" collapsed="false">
      <c r="B41" s="35" t="s">
        <v>69</v>
      </c>
      <c r="E41" s="36" t="n">
        <f aca="false">E40/D40-1</f>
        <v>-0.20156636438582</v>
      </c>
      <c r="F41" s="36" t="n">
        <f aca="false">F40/E40-1</f>
        <v>0.258131130614352</v>
      </c>
      <c r="G41" s="36" t="n">
        <f aca="false">G40/F40-1</f>
        <v>0.316372589249077</v>
      </c>
      <c r="H41" s="36" t="n">
        <f aca="false">H40/G40-1</f>
        <v>0</v>
      </c>
      <c r="I41" s="36" t="n">
        <f aca="false">I40/H40-1</f>
        <v>0</v>
      </c>
    </row>
    <row r="42" customFormat="false" ht="15" hidden="false" customHeight="false" outlineLevel="0" collapsed="false">
      <c r="B42" s="23" t="s">
        <v>70</v>
      </c>
      <c r="D42" s="15" t="n">
        <v>53.6</v>
      </c>
      <c r="E42" s="15" t="n">
        <v>63.2</v>
      </c>
      <c r="F42" s="15" t="n">
        <v>71</v>
      </c>
      <c r="G42" s="15" t="n">
        <v>100.9</v>
      </c>
      <c r="K42" s="14" t="s">
        <v>71</v>
      </c>
    </row>
    <row r="43" customFormat="false" ht="15" hidden="false" customHeight="false" outlineLevel="0" collapsed="false">
      <c r="B43" s="35" t="s">
        <v>72</v>
      </c>
      <c r="D43" s="36" t="n">
        <f aca="false">D42/D40</f>
        <v>0.220939818631492</v>
      </c>
      <c r="E43" s="36" t="n">
        <f aca="false">E42/E40</f>
        <v>0.326277749096541</v>
      </c>
      <c r="F43" s="36" t="n">
        <f aca="false">F42/F40</f>
        <v>0.291341813705376</v>
      </c>
      <c r="G43" s="36" t="n">
        <f aca="false">G42/G40</f>
        <v>0.314526184538653</v>
      </c>
    </row>
    <row r="44" customFormat="false" ht="15" hidden="false" customHeight="false" outlineLevel="0" collapsed="false">
      <c r="B44" s="23" t="s">
        <v>73</v>
      </c>
      <c r="D44" s="24" t="n">
        <f aca="false">D40-D42</f>
        <v>189</v>
      </c>
      <c r="E44" s="24" t="n">
        <f aca="false">E40-E42</f>
        <v>130.5</v>
      </c>
      <c r="F44" s="24" t="n">
        <f aca="false">F40-F42</f>
        <v>172.7</v>
      </c>
      <c r="G44" s="24" t="n">
        <f aca="false">G40-G42</f>
        <v>219.9</v>
      </c>
    </row>
    <row r="45" customFormat="false" ht="15" hidden="false" customHeight="false" outlineLevel="0" collapsed="false">
      <c r="B45" s="11" t="s">
        <v>74</v>
      </c>
      <c r="D45" s="15" t="n">
        <v>35.1</v>
      </c>
      <c r="E45" s="15" t="n">
        <v>5.6</v>
      </c>
      <c r="F45" s="15" t="n">
        <v>11.8</v>
      </c>
      <c r="G45" s="15" t="n">
        <v>37.8</v>
      </c>
    </row>
    <row r="46" customFormat="false" ht="15" hidden="false" customHeight="false" outlineLevel="0" collapsed="false">
      <c r="B46" s="35" t="s">
        <v>75</v>
      </c>
      <c r="D46" s="36" t="n">
        <f aca="false">D45/D40</f>
        <v>0.144682605111294</v>
      </c>
      <c r="E46" s="36" t="n">
        <f aca="false">E45/E40</f>
        <v>0.0289106866288074</v>
      </c>
      <c r="F46" s="36" t="n">
        <f aca="false">F45/F40</f>
        <v>0.048420188756668</v>
      </c>
      <c r="G46" s="36" t="n">
        <f aca="false">G45/G40</f>
        <v>0.11783042394015</v>
      </c>
    </row>
    <row r="48" customFormat="false" ht="15" hidden="false" customHeight="false" outlineLevel="0" collapsed="false">
      <c r="B48" s="10" t="s">
        <v>76</v>
      </c>
      <c r="D48" s="37" t="n">
        <f aca="false">H40</f>
        <v>320.8</v>
      </c>
      <c r="K48" s="14" t="s">
        <v>77</v>
      </c>
    </row>
    <row r="50" customFormat="false" ht="15" hidden="false" customHeight="false" outlineLevel="0" collapsed="false">
      <c r="B50" s="8" t="s">
        <v>78</v>
      </c>
      <c r="C50" s="9"/>
      <c r="D50" s="9"/>
      <c r="E50" s="9"/>
      <c r="F50" s="9"/>
      <c r="G50" s="9"/>
      <c r="H50" s="9"/>
      <c r="I50" s="9"/>
    </row>
    <row r="51" customFormat="false" ht="15" hidden="false" customHeight="false" outlineLevel="0" collapsed="false">
      <c r="B51" s="20" t="s">
        <v>79</v>
      </c>
      <c r="C51" s="21"/>
      <c r="D51" s="38" t="n">
        <f aca="false">$D$7</f>
        <v>44652</v>
      </c>
      <c r="E51" s="39" t="n">
        <v>45017</v>
      </c>
      <c r="F51" s="39" t="n">
        <v>45383</v>
      </c>
      <c r="G51" s="39" t="n">
        <v>45748</v>
      </c>
      <c r="H51" s="39" t="n">
        <v>46113</v>
      </c>
      <c r="I51" s="38" t="n">
        <f aca="false">$D$19</f>
        <v>46507</v>
      </c>
      <c r="K51" s="14" t="s">
        <v>80</v>
      </c>
    </row>
    <row r="52" customFormat="false" ht="15" hidden="false" customHeight="false" outlineLevel="0" collapsed="false">
      <c r="B52" s="11" t="s">
        <v>81</v>
      </c>
      <c r="D52" s="40" t="n">
        <v>0</v>
      </c>
      <c r="E52" s="41" t="n">
        <f aca="false">(E51-D51)/365.25</f>
        <v>0.999315537303217</v>
      </c>
      <c r="F52" s="41" t="n">
        <f aca="false">(F51-E51)/365.25</f>
        <v>1.00205338809035</v>
      </c>
      <c r="G52" s="41" t="n">
        <f aca="false">(G51-F51)/365.25</f>
        <v>0.999315537303217</v>
      </c>
      <c r="H52" s="41" t="n">
        <f aca="false">(H51-G51)/365.25</f>
        <v>0.999315537303217</v>
      </c>
      <c r="I52" s="41" t="n">
        <f aca="false">(I51-H51)/365.25</f>
        <v>1.07871321013005</v>
      </c>
    </row>
    <row r="54" customFormat="false" ht="15" hidden="false" customHeight="false" outlineLevel="0" collapsed="false">
      <c r="B54" s="10" t="s">
        <v>51</v>
      </c>
    </row>
    <row r="55" customFormat="false" ht="15" hidden="false" customHeight="false" outlineLevel="0" collapsed="false">
      <c r="B55" s="23" t="s">
        <v>82</v>
      </c>
      <c r="D55" s="31" t="n">
        <f aca="false">$D$13</f>
        <v>152.5</v>
      </c>
      <c r="E55" s="31" t="n">
        <f aca="false">D57</f>
        <v>152.5</v>
      </c>
      <c r="F55" s="31" t="n">
        <f aca="false">E57</f>
        <v>165.834228562273</v>
      </c>
      <c r="G55" s="31" t="n">
        <f aca="false">F57</f>
        <v>180.375789035624</v>
      </c>
      <c r="H55" s="31" t="n">
        <f aca="false">G57</f>
        <v>196.147408695305</v>
      </c>
      <c r="I55" s="31" t="n">
        <f aca="false">H57</f>
        <v>213.29806036377</v>
      </c>
    </row>
    <row r="56" customFormat="false" ht="15" hidden="false" customHeight="false" outlineLevel="0" collapsed="false">
      <c r="B56" s="23" t="s">
        <v>83</v>
      </c>
      <c r="D56" s="24" t="n">
        <f aca="false">D55*((1+$D$14)^D52-1)</f>
        <v>0</v>
      </c>
      <c r="E56" s="24" t="n">
        <f aca="false">E55*((1+$D$14)^E52-1)</f>
        <v>13.3342285622731</v>
      </c>
      <c r="F56" s="24" t="n">
        <f aca="false">F55*((1+$D$14)^F52-1)</f>
        <v>14.541560473351</v>
      </c>
      <c r="G56" s="24" t="n">
        <f aca="false">G55*((1+$D$14)^G52-1)</f>
        <v>15.7716196596811</v>
      </c>
      <c r="H56" s="24" t="n">
        <f aca="false">H55*((1+$D$14)^H52-1)</f>
        <v>17.1506516684643</v>
      </c>
      <c r="I56" s="24" t="n">
        <f aca="false">I55*((1+$D$14)^I52-1)</f>
        <v>20.2001929965935</v>
      </c>
      <c r="K56" s="14" t="s">
        <v>84</v>
      </c>
    </row>
    <row r="57" customFormat="false" ht="15" hidden="false" customHeight="false" outlineLevel="0" collapsed="false">
      <c r="B57" s="42" t="s">
        <v>85</v>
      </c>
      <c r="D57" s="28" t="n">
        <f aca="false">D55+D56</f>
        <v>152.5</v>
      </c>
      <c r="E57" s="28" t="n">
        <f aca="false">E55+E56</f>
        <v>165.834228562273</v>
      </c>
      <c r="F57" s="28" t="n">
        <f aca="false">F55+F56</f>
        <v>180.375789035624</v>
      </c>
      <c r="G57" s="28" t="n">
        <f aca="false">G55+G56</f>
        <v>196.147408695305</v>
      </c>
      <c r="H57" s="28" t="n">
        <f aca="false">H55+H56</f>
        <v>213.29806036377</v>
      </c>
      <c r="I57" s="28" t="n">
        <f aca="false">I55+I56</f>
        <v>233.498253360363</v>
      </c>
    </row>
    <row r="59" customFormat="false" ht="15" hidden="false" customHeight="false" outlineLevel="0" collapsed="false">
      <c r="B59" s="10" t="s">
        <v>52</v>
      </c>
    </row>
    <row r="60" customFormat="false" ht="15" hidden="false" customHeight="false" outlineLevel="0" collapsed="false">
      <c r="B60" s="23" t="s">
        <v>82</v>
      </c>
      <c r="D60" s="31" t="n">
        <f aca="false">$D$15</f>
        <v>23</v>
      </c>
      <c r="E60" s="31" t="n">
        <f aca="false">D62</f>
        <v>23</v>
      </c>
      <c r="F60" s="31" t="n">
        <f aca="false">E62</f>
        <v>23</v>
      </c>
      <c r="G60" s="31" t="n">
        <f aca="false">F62</f>
        <v>23</v>
      </c>
      <c r="H60" s="31" t="n">
        <f aca="false">G62</f>
        <v>23</v>
      </c>
      <c r="I60" s="31" t="n">
        <f aca="false">H62</f>
        <v>23</v>
      </c>
    </row>
    <row r="61" customFormat="false" ht="15" hidden="false" customHeight="false" outlineLevel="0" collapsed="false">
      <c r="B61" s="23" t="s">
        <v>86</v>
      </c>
      <c r="D61" s="24" t="n">
        <f aca="false">D60*((1+$D$16)^D52-1)</f>
        <v>0</v>
      </c>
      <c r="E61" s="24" t="n">
        <f aca="false">E60*((1+$D$16)^E52-1)</f>
        <v>0</v>
      </c>
      <c r="F61" s="24" t="n">
        <f aca="false">F60*((1+$D$16)^F52-1)</f>
        <v>0</v>
      </c>
      <c r="G61" s="24" t="n">
        <f aca="false">G60*((1+$D$16)^G52-1)</f>
        <v>0</v>
      </c>
      <c r="H61" s="24" t="n">
        <f aca="false">H60*((1+$D$16)^H52-1)</f>
        <v>0</v>
      </c>
      <c r="I61" s="24" t="n">
        <f aca="false">I60*((1+$D$16)^I52-1)</f>
        <v>0</v>
      </c>
    </row>
    <row r="62" customFormat="false" ht="15" hidden="false" customHeight="false" outlineLevel="0" collapsed="false">
      <c r="B62" s="42" t="s">
        <v>85</v>
      </c>
      <c r="D62" s="28" t="n">
        <f aca="false">D60+D61</f>
        <v>23</v>
      </c>
      <c r="E62" s="28" t="n">
        <f aca="false">E60+E61</f>
        <v>23</v>
      </c>
      <c r="F62" s="28" t="n">
        <f aca="false">F60+F61</f>
        <v>23</v>
      </c>
      <c r="G62" s="28" t="n">
        <f aca="false">G60+G61</f>
        <v>23</v>
      </c>
      <c r="H62" s="28" t="n">
        <f aca="false">H60+H61</f>
        <v>23</v>
      </c>
      <c r="I62" s="28" t="n">
        <f aca="false">I60+I61</f>
        <v>23</v>
      </c>
    </row>
    <row r="64" customFormat="false" ht="15" hidden="false" customHeight="false" outlineLevel="0" collapsed="false">
      <c r="B64" s="10" t="s">
        <v>87</v>
      </c>
      <c r="D64" s="43" t="n">
        <f aca="false">D57+D62</f>
        <v>175.5</v>
      </c>
      <c r="E64" s="43" t="n">
        <f aca="false">E57+E62</f>
        <v>188.834228562273</v>
      </c>
      <c r="F64" s="43" t="n">
        <f aca="false">F57+F62</f>
        <v>203.375789035624</v>
      </c>
      <c r="G64" s="43" t="n">
        <f aca="false">G57+G62</f>
        <v>219.147408695305</v>
      </c>
      <c r="H64" s="43" t="n">
        <f aca="false">H57+H62</f>
        <v>236.29806036377</v>
      </c>
      <c r="I64" s="43" t="n">
        <f aca="false">I57+I62</f>
        <v>256.498253360363</v>
      </c>
    </row>
    <row r="65" customFormat="false" ht="15" hidden="false" customHeight="false" outlineLevel="0" collapsed="false">
      <c r="B65" s="23" t="s">
        <v>88</v>
      </c>
      <c r="D65" s="17" t="n">
        <f aca="false">IF(D51&gt;=$D$17,$D$12,$D$9)</f>
        <v>0.47</v>
      </c>
      <c r="E65" s="17" t="n">
        <f aca="false">IF(E51&gt;=$D$17,$D$12,$D$9)</f>
        <v>0.47</v>
      </c>
      <c r="F65" s="17" t="n">
        <f aca="false">IF(F51&gt;=$D$17,$D$12,$D$9)</f>
        <v>0.47</v>
      </c>
      <c r="G65" s="17" t="n">
        <f aca="false">IF(G51&gt;=$D$17,$D$12,$D$9)</f>
        <v>0.529818181818182</v>
      </c>
      <c r="H65" s="17" t="n">
        <f aca="false">IF(H51&gt;=$D$17,$D$12,$D$9)</f>
        <v>0.529818181818182</v>
      </c>
      <c r="I65" s="17" t="n">
        <f aca="false">IF(I51&gt;=$D$17,$D$12,$D$9)</f>
        <v>0.529818181818182</v>
      </c>
    </row>
    <row r="66" customFormat="false" ht="15" hidden="false" customHeight="false" outlineLevel="0" collapsed="false">
      <c r="B66" s="35" t="s">
        <v>89</v>
      </c>
      <c r="D66" s="44" t="n">
        <f aca="false">D65*$D$20*$D$48</f>
        <v>301.552</v>
      </c>
      <c r="E66" s="44" t="n">
        <f aca="false">E65*$D$20*$D$48</f>
        <v>301.552</v>
      </c>
      <c r="F66" s="44" t="n">
        <f aca="false">F65*$D$20*$D$48</f>
        <v>301.552</v>
      </c>
      <c r="G66" s="44" t="n">
        <f aca="false">G65*$D$20*$D$48</f>
        <v>339.931345454545</v>
      </c>
      <c r="H66" s="44" t="n">
        <f aca="false">H65*$D$20*$D$48</f>
        <v>339.931345454545</v>
      </c>
      <c r="I66" s="44" t="n">
        <f aca="false">I65*$D$20*$D$48</f>
        <v>339.931345454545</v>
      </c>
    </row>
    <row r="67" customFormat="false" ht="15" hidden="false" customHeight="false" outlineLevel="0" collapsed="false">
      <c r="B67" s="35" t="s">
        <v>90</v>
      </c>
      <c r="D67" s="36" t="n">
        <f aca="false">D64/D66</f>
        <v>0.58198917599618</v>
      </c>
      <c r="E67" s="36" t="n">
        <f aca="false">E64/E66</f>
        <v>0.626207846614425</v>
      </c>
      <c r="F67" s="36" t="n">
        <f aca="false">F64/F66</f>
        <v>0.674430244321457</v>
      </c>
      <c r="G67" s="36" t="n">
        <f aca="false">G64/G66</f>
        <v>0.644681379418742</v>
      </c>
      <c r="H67" s="36" t="n">
        <f aca="false">H64/H66</f>
        <v>0.695134660346781</v>
      </c>
      <c r="I67" s="36" t="n">
        <f aca="false">I64/I66</f>
        <v>0.754558991955807</v>
      </c>
    </row>
    <row r="69" customFormat="false" ht="15" hidden="false" customHeight="false" outlineLevel="0" collapsed="false">
      <c r="B69" s="8" t="s">
        <v>91</v>
      </c>
      <c r="C69" s="9"/>
      <c r="D69" s="9"/>
      <c r="E69" s="9"/>
      <c r="F69" s="9"/>
      <c r="G69" s="9"/>
      <c r="H69" s="9"/>
      <c r="I69" s="9"/>
    </row>
    <row r="70" customFormat="false" ht="15" hidden="false" customHeight="false" outlineLevel="0" collapsed="false">
      <c r="B70" s="11" t="s">
        <v>92</v>
      </c>
      <c r="D70" s="31" t="n">
        <f aca="false">D48</f>
        <v>320.8</v>
      </c>
    </row>
    <row r="71" customFormat="false" ht="15" hidden="false" customHeight="false" outlineLevel="0" collapsed="false">
      <c r="B71" s="11" t="s">
        <v>39</v>
      </c>
      <c r="D71" s="45" t="n">
        <f aca="false">$D$20</f>
        <v>2</v>
      </c>
    </row>
    <row r="72" customFormat="false" ht="15" hidden="false" customHeight="false" outlineLevel="0" collapsed="false">
      <c r="B72" s="10" t="s">
        <v>93</v>
      </c>
      <c r="D72" s="43" t="n">
        <f aca="false">D70*D71</f>
        <v>641.6</v>
      </c>
    </row>
    <row r="73" customFormat="false" ht="15" hidden="false" customHeight="false" outlineLevel="0" collapsed="false">
      <c r="B73" s="11" t="s">
        <v>94</v>
      </c>
      <c r="D73" s="46" t="n">
        <f aca="false">I65</f>
        <v>0.529818181818182</v>
      </c>
    </row>
    <row r="74" customFormat="false" ht="15" hidden="false" customHeight="false" outlineLevel="0" collapsed="false">
      <c r="B74" s="11" t="s">
        <v>95</v>
      </c>
      <c r="D74" s="24" t="n">
        <f aca="false">D72*D73</f>
        <v>339.931345454545</v>
      </c>
    </row>
    <row r="75" customFormat="false" ht="15" hidden="false" customHeight="false" outlineLevel="0" collapsed="false">
      <c r="B75" s="11" t="s">
        <v>96</v>
      </c>
      <c r="D75" s="24" t="n">
        <f aca="false">-I64</f>
        <v>-256.498253360363</v>
      </c>
    </row>
    <row r="76" customFormat="false" ht="15" hidden="false" customHeight="false" outlineLevel="0" collapsed="false">
      <c r="B76" s="10" t="s">
        <v>97</v>
      </c>
      <c r="D76" s="47" t="n">
        <f aca="false">MAX(D74+D75,0)</f>
        <v>83.4330920941824</v>
      </c>
      <c r="K76" s="14" t="s">
        <v>98</v>
      </c>
    </row>
    <row r="78" customFormat="false" ht="15" hidden="false" customHeight="false" outlineLevel="0" collapsed="false">
      <c r="B78" s="20" t="s">
        <v>99</v>
      </c>
      <c r="C78" s="21"/>
      <c r="D78" s="22" t="s">
        <v>100</v>
      </c>
      <c r="E78" s="22" t="s">
        <v>14</v>
      </c>
      <c r="F78" s="22" t="s">
        <v>101</v>
      </c>
      <c r="G78" s="21"/>
      <c r="H78" s="21"/>
      <c r="I78" s="21"/>
    </row>
    <row r="79" customFormat="false" ht="15" hidden="false" customHeight="false" outlineLevel="0" collapsed="false">
      <c r="B79" s="23" t="s">
        <v>102</v>
      </c>
      <c r="D79" s="48" t="n">
        <f aca="false">$D$7</f>
        <v>44652</v>
      </c>
      <c r="E79" s="24" t="n">
        <f aca="false">-D31</f>
        <v>-36</v>
      </c>
      <c r="F79" s="49" t="s">
        <v>103</v>
      </c>
    </row>
    <row r="80" customFormat="false" ht="15" hidden="false" customHeight="false" outlineLevel="0" collapsed="false">
      <c r="B80" s="23" t="s">
        <v>104</v>
      </c>
      <c r="D80" s="48" t="n">
        <f aca="false">$D$17</f>
        <v>45672</v>
      </c>
      <c r="E80" s="24" t="n">
        <f aca="false">-$D$18</f>
        <v>-67</v>
      </c>
      <c r="F80" s="49" t="s">
        <v>103</v>
      </c>
    </row>
    <row r="81" customFormat="false" ht="15" hidden="false" customHeight="false" outlineLevel="0" collapsed="false">
      <c r="B81" s="23" t="s">
        <v>105</v>
      </c>
      <c r="D81" s="48" t="n">
        <f aca="false">$D$19</f>
        <v>46507</v>
      </c>
      <c r="E81" s="31" t="n">
        <f aca="false">D76</f>
        <v>83.4330920941824</v>
      </c>
      <c r="F81" s="49" t="s">
        <v>106</v>
      </c>
    </row>
    <row r="83" customFormat="false" ht="15" hidden="false" customHeight="false" outlineLevel="0" collapsed="false">
      <c r="B83" s="11" t="s">
        <v>107</v>
      </c>
      <c r="D83" s="24" t="n">
        <f aca="false">-SUM(E79:E80)</f>
        <v>103</v>
      </c>
    </row>
    <row r="84" customFormat="false" ht="15" hidden="false" customHeight="false" outlineLevel="0" collapsed="false">
      <c r="B84" s="10" t="s">
        <v>108</v>
      </c>
      <c r="D84" s="50" t="n">
        <f aca="false">D76/D83</f>
        <v>0.810030020331868</v>
      </c>
    </row>
    <row r="85" customFormat="false" ht="15" hidden="false" customHeight="false" outlineLevel="0" collapsed="false">
      <c r="B85" s="10" t="s">
        <v>109</v>
      </c>
      <c r="D85" s="51" t="n">
        <f aca="false">IF(D76&gt;0,XIRR(E79:E81,D79:D81),-1)</f>
        <v>-0.0635795593324975</v>
      </c>
      <c r="K85" s="14" t="s">
        <v>110</v>
      </c>
    </row>
    <row r="87" customFormat="false" ht="15" hidden="false" customHeight="false" outlineLevel="0" collapsed="false">
      <c r="B87" s="20" t="s">
        <v>111</v>
      </c>
      <c r="C87" s="21"/>
      <c r="D87" s="22" t="s">
        <v>112</v>
      </c>
      <c r="E87" s="22" t="s">
        <v>113</v>
      </c>
      <c r="F87" s="21"/>
      <c r="G87" s="21"/>
      <c r="H87" s="21"/>
      <c r="I87" s="21"/>
    </row>
    <row r="88" customFormat="false" ht="15" hidden="false" customHeight="false" outlineLevel="0" collapsed="false">
      <c r="B88" s="23" t="s">
        <v>114</v>
      </c>
      <c r="D88" s="24" t="n">
        <f aca="false">(I64+0*D83)/D73</f>
        <v>484.125049238846</v>
      </c>
      <c r="E88" s="25" t="n">
        <f aca="false">D88/D70</f>
        <v>1.50911798391161</v>
      </c>
    </row>
    <row r="89" customFormat="false" ht="15" hidden="false" customHeight="false" outlineLevel="0" collapsed="false">
      <c r="B89" s="42" t="s">
        <v>115</v>
      </c>
      <c r="D89" s="43" t="n">
        <f aca="false">(I64+1*D83)/D73</f>
        <v>678.53136358339</v>
      </c>
      <c r="E89" s="52" t="n">
        <f aca="false">D89/D70</f>
        <v>2.115122704437</v>
      </c>
    </row>
    <row r="90" customFormat="false" ht="15" hidden="false" customHeight="false" outlineLevel="0" collapsed="false">
      <c r="B90" s="23" t="s">
        <v>116</v>
      </c>
      <c r="D90" s="24" t="n">
        <f aca="false">(I64+2*D83)/D73</f>
        <v>872.937677927933</v>
      </c>
      <c r="E90" s="25" t="n">
        <f aca="false">D90/D70</f>
        <v>2.72112742496239</v>
      </c>
    </row>
    <row r="92" customFormat="false" ht="15" hidden="false" customHeight="false" outlineLevel="0" collapsed="false">
      <c r="B92" s="8" t="s">
        <v>117</v>
      </c>
      <c r="C92" s="9"/>
      <c r="D92" s="9"/>
      <c r="E92" s="9"/>
      <c r="F92" s="9"/>
      <c r="G92" s="9"/>
      <c r="H92" s="9"/>
      <c r="I92" s="9"/>
    </row>
    <row r="93" customFormat="false" ht="15" hidden="false" customHeight="false" outlineLevel="0" collapsed="false">
      <c r="B93" s="10" t="s">
        <v>118</v>
      </c>
    </row>
    <row r="94" customFormat="false" ht="15" hidden="false" customHeight="false" outlineLevel="0" collapsed="false">
      <c r="B94" s="20" t="s">
        <v>119</v>
      </c>
      <c r="C94" s="21"/>
      <c r="D94" s="20"/>
      <c r="E94" s="53" t="n">
        <f aca="false">$D$20-0.5</f>
        <v>1.5</v>
      </c>
      <c r="F94" s="53" t="n">
        <f aca="false">$D$20-0.25</f>
        <v>1.75</v>
      </c>
      <c r="G94" s="54" t="n">
        <f aca="false">$D$20</f>
        <v>2</v>
      </c>
      <c r="H94" s="53" t="n">
        <f aca="false">$D$20+0.25</f>
        <v>2.25</v>
      </c>
      <c r="I94" s="53" t="n">
        <f aca="false">$D$20+0.5</f>
        <v>2.5</v>
      </c>
    </row>
    <row r="95" customFormat="false" ht="15" hidden="false" customHeight="false" outlineLevel="0" collapsed="false">
      <c r="D95" s="43" t="n">
        <f aca="false">$D$8-50</f>
        <v>400</v>
      </c>
      <c r="E95" s="25" t="n">
        <f aca="false">MAX($D$12*E$94*$D$48-($D$13*(1+$D$14)^(($D$19-$D$7)/365.25)+$D$15*(1+$D$16)^(($D$19-$D$7)/365.25)),0)/($D95*$D$9-$D$13-$D$15+$D$18)</f>
        <v>0</v>
      </c>
      <c r="F95" s="25" t="n">
        <f aca="false">MAX($D$12*F$94*$D$48-($D$13*(1+$D$14)^(($D$19-$D$7)/365.25)+$D$15*(1+$D$16)^(($D$19-$D$7)/365.25)),0)/($D95*$D$9-$D$13-$D$15+$D$18)</f>
        <v>0.514989608960557</v>
      </c>
      <c r="G95" s="25" t="n">
        <f aca="false">MAX($D$12*G$94*$D$48-($D$13*(1+$D$14)^(($D$19-$D$7)/365.25)+$D$15*(1+$D$16)^(($D$19-$D$7)/365.25)),0)/($D95*$D$9-$D$13-$D$15+$D$18)</f>
        <v>1.0494728565306</v>
      </c>
      <c r="H95" s="25" t="n">
        <f aca="false">MAX($D$12*H$94*$D$48-($D$13*(1+$D$14)^(($D$19-$D$7)/365.25)+$D$15*(1+$D$16)^(($D$19-$D$7)/365.25)),0)/($D95*$D$9-$D$13-$D$15+$D$18)</f>
        <v>1.58395610410064</v>
      </c>
      <c r="I95" s="25" t="n">
        <f aca="false">MAX($D$12*I$94*$D$48-($D$13*(1+$D$14)^(($D$19-$D$7)/365.25)+$D$15*(1+$D$16)^(($D$19-$D$7)/365.25)),0)/($D95*$D$9-$D$13-$D$15+$D$18)</f>
        <v>2.11843935167068</v>
      </c>
    </row>
    <row r="96" customFormat="false" ht="15" hidden="false" customHeight="false" outlineLevel="0" collapsed="false">
      <c r="D96" s="43" t="n">
        <f aca="false">$D$8-25</f>
        <v>425</v>
      </c>
      <c r="E96" s="25" t="n">
        <f aca="false">MAX($D$12*E$94*$D$48-($D$13*(1+$D$14)^(($D$19-$D$7)/365.25)+$D$15*(1+$D$16)^(($D$19-$D$7)/365.25)),0)/($D96*$D$9-$D$13-$D$15+$D$18)</f>
        <v>0</v>
      </c>
      <c r="F96" s="25" t="n">
        <f aca="false">MAX($D$12*F$94*$D$48-($D$13*(1+$D$14)^(($D$19-$D$7)/365.25)+$D$15*(1+$D$16)^(($D$19-$D$7)/365.25)),0)/($D96*$D$9-$D$13-$D$15+$D$18)</f>
        <v>0.448675878491664</v>
      </c>
      <c r="G96" s="25" t="n">
        <f aca="false">MAX($D$12*G$94*$D$48-($D$13*(1+$D$14)^(($D$19-$D$7)/365.25)+$D$15*(1+$D$16)^(($D$19-$D$7)/365.25)),0)/($D96*$D$9-$D$13-$D$15+$D$18)</f>
        <v>0.914335255826657</v>
      </c>
      <c r="H96" s="25" t="n">
        <f aca="false">MAX($D$12*H$94*$D$48-($D$13*(1+$D$14)^(($D$19-$D$7)/365.25)+$D$15*(1+$D$16)^(($D$19-$D$7)/365.25)),0)/($D96*$D$9-$D$13-$D$15+$D$18)</f>
        <v>1.37999463316165</v>
      </c>
      <c r="I96" s="25" t="n">
        <f aca="false">MAX($D$12*I$94*$D$48-($D$13*(1+$D$14)^(($D$19-$D$7)/365.25)+$D$15*(1+$D$16)^(($D$19-$D$7)/365.25)),0)/($D96*$D$9-$D$13-$D$15+$D$18)</f>
        <v>1.84565401049664</v>
      </c>
    </row>
    <row r="97" customFormat="false" ht="15" hidden="false" customHeight="false" outlineLevel="0" collapsed="false">
      <c r="D97" s="37" t="n">
        <f aca="false">$D$8</f>
        <v>450</v>
      </c>
      <c r="E97" s="25" t="n">
        <f aca="false">MAX($D$12*E$94*$D$48-($D$13*(1+$D$14)^(($D$19-$D$7)/365.25)+$D$15*(1+$D$16)^(($D$19-$D$7)/365.25)),0)/($D97*$D$9-$D$13-$D$15+$D$18)</f>
        <v>0</v>
      </c>
      <c r="F97" s="25" t="n">
        <f aca="false">MAX($D$12*F$94*$D$48-($D$13*(1+$D$14)^(($D$19-$D$7)/365.25)+$D$15*(1+$D$16)^(($D$19-$D$7)/365.25)),0)/($D97*$D$9-$D$13-$D$15+$D$18)</f>
        <v>0.397491979731692</v>
      </c>
      <c r="G97" s="50" t="n">
        <f aca="false">MAX($D$12*G$94*$D$48-($D$13*(1+$D$14)^(($D$19-$D$7)/365.25)+$D$15*(1+$D$16)^(($D$19-$D$7)/365.25)),0)/($D97*$D$9-$D$13-$D$15+$D$18)</f>
        <v>0.810030020331869</v>
      </c>
      <c r="H97" s="25" t="n">
        <f aca="false">MAX($D$12*H$94*$D$48-($D$13*(1+$D$14)^(($D$19-$D$7)/365.25)+$D$15*(1+$D$16)^(($D$19-$D$7)/365.25)),0)/($D97*$D$9-$D$13-$D$15+$D$18)</f>
        <v>1.22256806093205</v>
      </c>
      <c r="I97" s="25" t="n">
        <f aca="false">MAX($D$12*I$94*$D$48-($D$13*(1+$D$14)^(($D$19-$D$7)/365.25)+$D$15*(1+$D$16)^(($D$19-$D$7)/365.25)),0)/($D97*$D$9-$D$13-$D$15+$D$18)</f>
        <v>1.63510610153222</v>
      </c>
    </row>
    <row r="98" customFormat="false" ht="15" hidden="false" customHeight="false" outlineLevel="0" collapsed="false">
      <c r="D98" s="43" t="n">
        <f aca="false">$D$8+25</f>
        <v>475</v>
      </c>
      <c r="E98" s="25" t="n">
        <f aca="false">MAX($D$12*E$94*$D$48-($D$13*(1+$D$14)^(($D$19-$D$7)/365.25)+$D$15*(1+$D$16)^(($D$19-$D$7)/365.25)),0)/($D98*$D$9-$D$13-$D$15+$D$18)</f>
        <v>0</v>
      </c>
      <c r="F98" s="25" t="n">
        <f aca="false">MAX($D$12*F$94*$D$48-($D$13*(1+$D$14)^(($D$19-$D$7)/365.25)+$D$15*(1+$D$16)^(($D$19-$D$7)/365.25)),0)/($D98*$D$9-$D$13-$D$15+$D$18)</f>
        <v>0.356790186600125</v>
      </c>
      <c r="G98" s="25" t="n">
        <f aca="false">MAX($D$12*G$94*$D$48-($D$13*(1+$D$14)^(($D$19-$D$7)/365.25)+$D$15*(1+$D$16)^(($D$19-$D$7)/365.25)),0)/($D98*$D$9-$D$13-$D$15+$D$18)</f>
        <v>0.727085769883943</v>
      </c>
      <c r="H98" s="25" t="n">
        <f aca="false">MAX($D$12*H$94*$D$48-($D$13*(1+$D$14)^(($D$19-$D$7)/365.25)+$D$15*(1+$D$16)^(($D$19-$D$7)/365.25)),0)/($D98*$D$9-$D$13-$D$15+$D$18)</f>
        <v>1.09738135316776</v>
      </c>
      <c r="I98" s="25" t="n">
        <f aca="false">MAX($D$12*I$94*$D$48-($D$13*(1+$D$14)^(($D$19-$D$7)/365.25)+$D$15*(1+$D$16)^(($D$19-$D$7)/365.25)),0)/($D98*$D$9-$D$13-$D$15+$D$18)</f>
        <v>1.46767693645158</v>
      </c>
    </row>
    <row r="99" customFormat="false" ht="15" hidden="false" customHeight="false" outlineLevel="0" collapsed="false">
      <c r="D99" s="43" t="n">
        <f aca="false">$D$8+50</f>
        <v>500</v>
      </c>
      <c r="E99" s="25" t="n">
        <f aca="false">MAX($D$12*E$94*$D$48-($D$13*(1+$D$14)^(($D$19-$D$7)/365.25)+$D$15*(1+$D$16)^(($D$19-$D$7)/365.25)),0)/($D99*$D$9-$D$13-$D$15+$D$18)</f>
        <v>0</v>
      </c>
      <c r="F99" s="25" t="n">
        <f aca="false">MAX($D$12*F$94*$D$48-($D$13*(1+$D$14)^(($D$19-$D$7)/365.25)+$D$15*(1+$D$16)^(($D$19-$D$7)/365.25)),0)/($D99*$D$9-$D$13-$D$15+$D$18)</f>
        <v>0.323649596145172</v>
      </c>
      <c r="G99" s="25" t="n">
        <f aca="false">MAX($D$12*G$94*$D$48-($D$13*(1+$D$14)^(($D$19-$D$7)/365.25)+$D$15*(1+$D$16)^(($D$19-$D$7)/365.25)),0)/($D99*$D$9-$D$13-$D$15+$D$18)</f>
        <v>0.659550135131877</v>
      </c>
      <c r="H99" s="25" t="n">
        <f aca="false">MAX($D$12*H$94*$D$48-($D$13*(1+$D$14)^(($D$19-$D$7)/365.25)+$D$15*(1+$D$16)^(($D$19-$D$7)/365.25)),0)/($D99*$D$9-$D$13-$D$15+$D$18)</f>
        <v>0.995450674118582</v>
      </c>
      <c r="I99" s="25" t="n">
        <f aca="false">MAX($D$12*I$94*$D$48-($D$13*(1+$D$14)^(($D$19-$D$7)/365.25)+$D$15*(1+$D$16)^(($D$19-$D$7)/365.25)),0)/($D99*$D$9-$D$13-$D$15+$D$18)</f>
        <v>1.33135121310529</v>
      </c>
    </row>
    <row r="101" customFormat="false" ht="15" hidden="false" customHeight="false" outlineLevel="0" collapsed="false">
      <c r="B101" s="10" t="s">
        <v>120</v>
      </c>
    </row>
    <row r="102" customFormat="false" ht="15" hidden="false" customHeight="false" outlineLevel="0" collapsed="false">
      <c r="B102" s="20" t="s">
        <v>119</v>
      </c>
      <c r="C102" s="21"/>
      <c r="D102" s="20"/>
      <c r="E102" s="53" t="n">
        <f aca="false">$D$20-0.5</f>
        <v>1.5</v>
      </c>
      <c r="F102" s="53" t="n">
        <f aca="false">$D$20-0.25</f>
        <v>1.75</v>
      </c>
      <c r="G102" s="54" t="n">
        <f aca="false">$D$20</f>
        <v>2</v>
      </c>
      <c r="H102" s="53" t="n">
        <f aca="false">$D$20+0.25</f>
        <v>2.25</v>
      </c>
      <c r="I102" s="53" t="n">
        <f aca="false">$D$20+0.5</f>
        <v>2.5</v>
      </c>
    </row>
    <row r="103" customFormat="false" ht="15" hidden="false" customHeight="false" outlineLevel="0" collapsed="false">
      <c r="D103" s="43" t="n">
        <f aca="false">$D$8-50</f>
        <v>400</v>
      </c>
      <c r="E103" s="55" t="n">
        <f aca="false">'Sens Calc'!D9</f>
        <v>-1</v>
      </c>
      <c r="F103" s="55" t="n">
        <f aca="false">'Sens Calc'!E9</f>
        <v>-0.224077688014686</v>
      </c>
      <c r="G103" s="55" t="n">
        <f aca="false">'Sens Calc'!F9</f>
        <v>0.0178038485487718</v>
      </c>
      <c r="H103" s="55" t="n">
        <f aca="false">'Sens Calc'!G9</f>
        <v>0.177116468478539</v>
      </c>
      <c r="I103" s="55" t="n">
        <f aca="false">'Sens Calc'!H9</f>
        <v>0.29720877054739</v>
      </c>
    </row>
    <row r="104" customFormat="false" ht="15" hidden="false" customHeight="false" outlineLevel="0" collapsed="false">
      <c r="D104" s="43" t="n">
        <f aca="false">$D$8-25</f>
        <v>425</v>
      </c>
      <c r="E104" s="55" t="n">
        <f aca="false">'Sens Calc'!D14</f>
        <v>-1</v>
      </c>
      <c r="F104" s="55" t="n">
        <f aca="false">'Sens Calc'!E14</f>
        <v>-0.245665942950405</v>
      </c>
      <c r="G104" s="55" t="n">
        <f aca="false">'Sens Calc'!F14</f>
        <v>-0.029335016538427</v>
      </c>
      <c r="H104" s="55" t="n">
        <f aca="false">'Sens Calc'!G14</f>
        <v>0.109018876150178</v>
      </c>
      <c r="I104" s="55" t="n">
        <f aca="false">'Sens Calc'!H14</f>
        <v>0.211934938682213</v>
      </c>
    </row>
    <row r="105" customFormat="false" ht="15" hidden="false" customHeight="false" outlineLevel="0" collapsed="false">
      <c r="D105" s="37" t="n">
        <f aca="false">$D$8</f>
        <v>450</v>
      </c>
      <c r="E105" s="55" t="n">
        <f aca="false">'Sens Calc'!D19</f>
        <v>-1</v>
      </c>
      <c r="F105" s="55" t="n">
        <f aca="false">'Sens Calc'!E19</f>
        <v>-0.263166389315216</v>
      </c>
      <c r="G105" s="56" t="n">
        <f aca="false">'Sens Calc'!F19</f>
        <v>-0.0635795593324971</v>
      </c>
      <c r="H105" s="55" t="n">
        <f aca="false">'Sens Calc'!G19</f>
        <v>0.0624167372200015</v>
      </c>
      <c r="I105" s="55" t="n">
        <f aca="false">'Sens Calc'!H19</f>
        <v>0.15572877334642</v>
      </c>
    </row>
    <row r="106" customFormat="false" ht="15" hidden="false" customHeight="false" outlineLevel="0" collapsed="false">
      <c r="D106" s="43" t="n">
        <f aca="false">$D$8+25</f>
        <v>475</v>
      </c>
      <c r="E106" s="55" t="n">
        <f aca="false">'Sens Calc'!D24</f>
        <v>-1</v>
      </c>
      <c r="F106" s="55" t="n">
        <f aca="false">'Sens Calc'!E24</f>
        <v>-0.277885522400677</v>
      </c>
      <c r="G106" s="55" t="n">
        <f aca="false">'Sens Calc'!F24</f>
        <v>-0.0904390938899305</v>
      </c>
      <c r="H106" s="55" t="n">
        <f aca="false">'Sens Calc'!G24</f>
        <v>0.0270944082355614</v>
      </c>
      <c r="I106" s="55" t="n">
        <f aca="false">'Sens Calc'!H24</f>
        <v>0.113990148365409</v>
      </c>
    </row>
    <row r="107" customFormat="false" ht="15" hidden="false" customHeight="false" outlineLevel="0" collapsed="false">
      <c r="D107" s="43" t="n">
        <f aca="false">$D$8+50</f>
        <v>500</v>
      </c>
      <c r="E107" s="55" t="n">
        <f aca="false">'Sens Calc'!D29</f>
        <v>-1</v>
      </c>
      <c r="F107" s="55" t="n">
        <f aca="false">'Sens Calc'!E29</f>
        <v>-0.290584740202712</v>
      </c>
      <c r="G107" s="55" t="n">
        <f aca="false">'Sens Calc'!F29</f>
        <v>-0.112500380493794</v>
      </c>
      <c r="H107" s="55" t="n">
        <f aca="false">'Sens Calc'!G29</f>
        <v>-0.00126548157051101</v>
      </c>
      <c r="I107" s="55" t="n">
        <f aca="false">'Sens Calc'!H29</f>
        <v>0.0809209147043785</v>
      </c>
    </row>
    <row r="109" customFormat="false" ht="15" hidden="false" customHeight="false" outlineLevel="0" collapsed="false">
      <c r="B109" s="10" t="s">
        <v>121</v>
      </c>
    </row>
    <row r="110" customFormat="false" ht="15" hidden="false" customHeight="false" outlineLevel="0" collapsed="false">
      <c r="B110" s="20" t="s">
        <v>122</v>
      </c>
      <c r="C110" s="21"/>
      <c r="D110" s="20"/>
      <c r="E110" s="53" t="n">
        <f aca="false">$D$20-0.5</f>
        <v>1.5</v>
      </c>
      <c r="F110" s="53" t="n">
        <f aca="false">$D$20-0.25</f>
        <v>1.75</v>
      </c>
      <c r="G110" s="54" t="n">
        <f aca="false">$D$20</f>
        <v>2</v>
      </c>
      <c r="H110" s="53" t="n">
        <f aca="false">$D$20+0.25</f>
        <v>2.25</v>
      </c>
      <c r="I110" s="53" t="n">
        <f aca="false">$D$20+0.5</f>
        <v>2.5</v>
      </c>
    </row>
    <row r="111" customFormat="false" ht="15" hidden="false" customHeight="false" outlineLevel="0" collapsed="false">
      <c r="D111" s="57" t="n">
        <f aca="false">EDATE($D$19,-12)</f>
        <v>46142</v>
      </c>
      <c r="E111" s="25" t="n">
        <f aca="false">MAX($D$12*E$110*$D$48-($D$13*(1+$D$14)^(($D111-$D$7)/365.25)+$D$15*(1+$D$16)^(($D111-$D$7)/365.25)),0)/($D$8*$D$9-$D$13-$D$15+$D$18)</f>
        <v>0.167234405816914</v>
      </c>
      <c r="F111" s="25" t="n">
        <f aca="false">MAX($D$12*F$110*$D$48-($D$13*(1+$D$14)^(($D111-$D$7)/365.25)+$D$15*(1+$D$16)^(($D111-$D$7)/365.25)),0)/($D$8*$D$9-$D$13-$D$15+$D$18)</f>
        <v>0.57977244641709</v>
      </c>
      <c r="G111" s="25" t="n">
        <f aca="false">MAX($D$12*G$110*$D$48-($D$13*(1+$D$14)^(($D111-$D$7)/365.25)+$D$15*(1+$D$16)^(($D111-$D$7)/365.25)),0)/($D$8*$D$9-$D$13-$D$15+$D$18)</f>
        <v>0.992310487017267</v>
      </c>
      <c r="H111" s="25" t="n">
        <f aca="false">MAX($D$12*H$110*$D$48-($D$13*(1+$D$14)^(($D111-$D$7)/365.25)+$D$15*(1+$D$16)^(($D111-$D$7)/365.25)),0)/($D$8*$D$9-$D$13-$D$15+$D$18)</f>
        <v>1.40484852761744</v>
      </c>
      <c r="I111" s="25" t="n">
        <f aca="false">MAX($D$12*I$110*$D$48-($D$13*(1+$D$14)^(($D111-$D$7)/365.25)+$D$15*(1+$D$16)^(($D111-$D$7)/365.25)),0)/($D$8*$D$9-$D$13-$D$15+$D$18)</f>
        <v>1.81738656821762</v>
      </c>
    </row>
    <row r="112" customFormat="false" ht="15" hidden="false" customHeight="false" outlineLevel="0" collapsed="false">
      <c r="D112" s="57" t="n">
        <f aca="false">EDATE($D$19,-6)</f>
        <v>46325</v>
      </c>
      <c r="E112" s="25" t="n">
        <f aca="false">MAX($D$12*E$110*$D$48-($D$13*(1+$D$14)^(($D112-$D$7)/365.25)+$D$15*(1+$D$16)^(($D112-$D$7)/365.25)),0)/($D$8*$D$9-$D$13-$D$15+$D$18)</f>
        <v>0.0777541887551787</v>
      </c>
      <c r="F112" s="25" t="n">
        <f aca="false">MAX($D$12*F$110*$D$48-($D$13*(1+$D$14)^(($D112-$D$7)/365.25)+$D$15*(1+$D$16)^(($D112-$D$7)/365.25)),0)/($D$8*$D$9-$D$13-$D$15+$D$18)</f>
        <v>0.490292229355355</v>
      </c>
      <c r="G112" s="25" t="n">
        <f aca="false">MAX($D$12*G$110*$D$48-($D$13*(1+$D$14)^(($D112-$D$7)/365.25)+$D$15*(1+$D$16)^(($D112-$D$7)/365.25)),0)/($D$8*$D$9-$D$13-$D$15+$D$18)</f>
        <v>0.902830269955532</v>
      </c>
      <c r="H112" s="25" t="n">
        <f aca="false">MAX($D$12*H$110*$D$48-($D$13*(1+$D$14)^(($D112-$D$7)/365.25)+$D$15*(1+$D$16)^(($D112-$D$7)/365.25)),0)/($D$8*$D$9-$D$13-$D$15+$D$18)</f>
        <v>1.31536831055571</v>
      </c>
      <c r="I112" s="25" t="n">
        <f aca="false">MAX($D$12*I$110*$D$48-($D$13*(1+$D$14)^(($D112-$D$7)/365.25)+$D$15*(1+$D$16)^(($D112-$D$7)/365.25)),0)/($D$8*$D$9-$D$13-$D$15+$D$18)</f>
        <v>1.72790635115588</v>
      </c>
    </row>
    <row r="113" customFormat="false" ht="15" hidden="false" customHeight="false" outlineLevel="0" collapsed="false">
      <c r="D113" s="58" t="n">
        <f aca="false">$D$19</f>
        <v>46507</v>
      </c>
      <c r="E113" s="25" t="n">
        <f aca="false">MAX($D$12*E$110*$D$48-($D$13*(1+$D$14)^(($D113-$D$7)/365.25)+$D$15*(1+$D$16)^(($D113-$D$7)/365.25)),0)/($D$8*$D$9-$D$13-$D$15+$D$18)</f>
        <v>0</v>
      </c>
      <c r="F113" s="25" t="n">
        <f aca="false">MAX($D$12*F$110*$D$48-($D$13*(1+$D$14)^(($D113-$D$7)/365.25)+$D$15*(1+$D$16)^(($D113-$D$7)/365.25)),0)/($D$8*$D$9-$D$13-$D$15+$D$18)</f>
        <v>0.397491979731692</v>
      </c>
      <c r="G113" s="50" t="n">
        <f aca="false">MAX($D$12*G$110*$D$48-($D$13*(1+$D$14)^(($D113-$D$7)/365.25)+$D$15*(1+$D$16)^(($D113-$D$7)/365.25)),0)/($D$8*$D$9-$D$13-$D$15+$D$18)</f>
        <v>0.810030020331869</v>
      </c>
      <c r="H113" s="25" t="n">
        <f aca="false">MAX($D$12*H$110*$D$48-($D$13*(1+$D$14)^(($D113-$D$7)/365.25)+$D$15*(1+$D$16)^(($D113-$D$7)/365.25)),0)/($D$8*$D$9-$D$13-$D$15+$D$18)</f>
        <v>1.22256806093205</v>
      </c>
      <c r="I113" s="25" t="n">
        <f aca="false">MAX($D$12*I$110*$D$48-($D$13*(1+$D$14)^(($D113-$D$7)/365.25)+$D$15*(1+$D$16)^(($D113-$D$7)/365.25)),0)/($D$8*$D$9-$D$13-$D$15+$D$18)</f>
        <v>1.63510610153222</v>
      </c>
    </row>
    <row r="114" customFormat="false" ht="15" hidden="false" customHeight="false" outlineLevel="0" collapsed="false">
      <c r="D114" s="57" t="n">
        <f aca="false">EDATE($D$19,6)</f>
        <v>46690</v>
      </c>
      <c r="E114" s="25" t="n">
        <f aca="false">MAX($D$12*E$110*$D$48-($D$13*(1+$D$14)^(($D114-$D$7)/365.25)+$D$15*(1+$D$16)^(($D114-$D$7)/365.25)),0)/($D$8*$D$9-$D$13-$D$15+$D$18)</f>
        <v>0</v>
      </c>
      <c r="F114" s="25" t="n">
        <f aca="false">MAX($D$12*F$110*$D$48-($D$13*(1+$D$14)^(($D114-$D$7)/365.25)+$D$15*(1+$D$16)^(($D114-$D$7)/365.25)),0)/($D$8*$D$9-$D$13-$D$15+$D$18)</f>
        <v>0.300187830433217</v>
      </c>
      <c r="G114" s="25" t="n">
        <f aca="false">MAX($D$12*G$110*$D$48-($D$13*(1+$D$14)^(($D114-$D$7)/365.25)+$D$15*(1+$D$16)^(($D114-$D$7)/365.25)),0)/($D$8*$D$9-$D$13-$D$15+$D$18)</f>
        <v>0.712725871033394</v>
      </c>
      <c r="H114" s="25" t="n">
        <f aca="false">MAX($D$12*H$110*$D$48-($D$13*(1+$D$14)^(($D114-$D$7)/365.25)+$D$15*(1+$D$16)^(($D114-$D$7)/365.25)),0)/($D$8*$D$9-$D$13-$D$15+$D$18)</f>
        <v>1.12526391163357</v>
      </c>
      <c r="I114" s="25" t="n">
        <f aca="false">MAX($D$12*I$110*$D$48-($D$13*(1+$D$14)^(($D114-$D$7)/365.25)+$D$15*(1+$D$16)^(($D114-$D$7)/365.25)),0)/($D$8*$D$9-$D$13-$D$15+$D$18)</f>
        <v>1.53780195223375</v>
      </c>
    </row>
    <row r="115" customFormat="false" ht="15" hidden="false" customHeight="false" outlineLevel="0" collapsed="false">
      <c r="D115" s="57" t="n">
        <f aca="false">EDATE($D$19,12)</f>
        <v>46873</v>
      </c>
      <c r="E115" s="25" t="n">
        <f aca="false">MAX($D$12*E$110*$D$48-($D$13*(1+$D$14)^(($D115-$D$7)/365.25)+$D$15*(1+$D$16)^(($D115-$D$7)/365.25)),0)/($D$8*$D$9-$D$13-$D$15+$D$18)</f>
        <v>0</v>
      </c>
      <c r="F115" s="25" t="n">
        <f aca="false">MAX($D$12*F$110*$D$48-($D$13*(1+$D$14)^(($D115-$D$7)/365.25)+$D$15*(1+$D$16)^(($D115-$D$7)/365.25)),0)/($D$8*$D$9-$D$13-$D$15+$D$18)</f>
        <v>0.198707144370772</v>
      </c>
      <c r="G115" s="25" t="n">
        <f aca="false">MAX($D$12*G$110*$D$48-($D$13*(1+$D$14)^(($D115-$D$7)/365.25)+$D$15*(1+$D$16)^(($D115-$D$7)/365.25)),0)/($D$8*$D$9-$D$13-$D$15+$D$18)</f>
        <v>0.611245184970949</v>
      </c>
      <c r="H115" s="25" t="n">
        <f aca="false">MAX($D$12*H$110*$D$48-($D$13*(1+$D$14)^(($D115-$D$7)/365.25)+$D$15*(1+$D$16)^(($D115-$D$7)/365.25)),0)/($D$8*$D$9-$D$13-$D$15+$D$18)</f>
        <v>1.02378322557113</v>
      </c>
      <c r="I115" s="25" t="n">
        <f aca="false">MAX($D$12*I$110*$D$48-($D$13*(1+$D$14)^(($D115-$D$7)/365.25)+$D$15*(1+$D$16)^(($D115-$D$7)/365.25)),0)/($D$8*$D$9-$D$13-$D$15+$D$18)</f>
        <v>1.4363212661713</v>
      </c>
    </row>
    <row r="117" customFormat="false" ht="15" hidden="false" customHeight="false" outlineLevel="0" collapsed="false">
      <c r="B117" s="10" t="s">
        <v>123</v>
      </c>
    </row>
    <row r="118" customFormat="false" ht="15" hidden="false" customHeight="false" outlineLevel="0" collapsed="false">
      <c r="B118" s="20" t="s">
        <v>122</v>
      </c>
      <c r="C118" s="21"/>
      <c r="D118" s="20"/>
      <c r="E118" s="53" t="n">
        <f aca="false">$D$20-0.5</f>
        <v>1.5</v>
      </c>
      <c r="F118" s="53" t="n">
        <f aca="false">$D$20-0.25</f>
        <v>1.75</v>
      </c>
      <c r="G118" s="54" t="n">
        <f aca="false">$D$20</f>
        <v>2</v>
      </c>
      <c r="H118" s="53" t="n">
        <f aca="false">$D$20+0.25</f>
        <v>2.25</v>
      </c>
      <c r="I118" s="53" t="n">
        <f aca="false">$D$20+0.5</f>
        <v>2.5</v>
      </c>
    </row>
    <row r="119" customFormat="false" ht="15" hidden="false" customHeight="false" outlineLevel="0" collapsed="false">
      <c r="D119" s="57" t="n">
        <f aca="false">EDATE($D$19,-12)</f>
        <v>46142</v>
      </c>
      <c r="E119" s="55" t="n">
        <f aca="false">'Sens Calc'!D36</f>
        <v>-0.658794753468797</v>
      </c>
      <c r="F119" s="55" t="n">
        <f aca="false">'Sens Calc'!E36</f>
        <v>-0.233602147494302</v>
      </c>
      <c r="G119" s="55" t="n">
        <f aca="false">'Sens Calc'!F36</f>
        <v>-0.00340770052621129</v>
      </c>
      <c r="H119" s="55" t="n">
        <f aca="false">'Sens Calc'!G36</f>
        <v>0.15251588504666</v>
      </c>
      <c r="I119" s="55" t="n">
        <f aca="false">'Sens Calc'!H36</f>
        <v>0.27133590859867</v>
      </c>
    </row>
    <row r="120" customFormat="false" ht="15" hidden="false" customHeight="false" outlineLevel="0" collapsed="false">
      <c r="D120" s="57" t="n">
        <f aca="false">EDATE($D$19,-6)</f>
        <v>46325</v>
      </c>
      <c r="E120" s="55" t="n">
        <f aca="false">'Sens Calc'!D41</f>
        <v>-0.698139041589094</v>
      </c>
      <c r="F120" s="55" t="n">
        <f aca="false">'Sens Calc'!E41</f>
        <v>-0.244695553599209</v>
      </c>
      <c r="G120" s="55" t="n">
        <f aca="false">'Sens Calc'!F41</f>
        <v>-0.0367125936444303</v>
      </c>
      <c r="H120" s="55" t="n">
        <f aca="false">'Sens Calc'!G41</f>
        <v>0.1008416132954</v>
      </c>
      <c r="I120" s="55" t="n">
        <f aca="false">'Sens Calc'!H41</f>
        <v>0.20459620380188</v>
      </c>
    </row>
    <row r="121" customFormat="false" ht="15" hidden="false" customHeight="false" outlineLevel="0" collapsed="false">
      <c r="D121" s="58" t="n">
        <f aca="false">$D$19</f>
        <v>46507</v>
      </c>
      <c r="E121" s="55" t="n">
        <f aca="false">'Sens Calc'!D46</f>
        <v>-1</v>
      </c>
      <c r="F121" s="55" t="n">
        <f aca="false">'Sens Calc'!E46</f>
        <v>-0.263166389315216</v>
      </c>
      <c r="G121" s="56" t="n">
        <f aca="false">'Sens Calc'!F46</f>
        <v>-0.0635795593324971</v>
      </c>
      <c r="H121" s="55" t="n">
        <f aca="false">'Sens Calc'!G46</f>
        <v>0.0624167372200015</v>
      </c>
      <c r="I121" s="55" t="n">
        <f aca="false">'Sens Calc'!H46</f>
        <v>0.15572877334642</v>
      </c>
    </row>
    <row r="122" customFormat="false" ht="15" hidden="false" customHeight="false" outlineLevel="0" collapsed="false">
      <c r="D122" s="57" t="n">
        <f aca="false">EDATE($D$19,6)</f>
        <v>46690</v>
      </c>
      <c r="E122" s="55" t="n">
        <f aca="false">'Sens Calc'!D51</f>
        <v>-1</v>
      </c>
      <c r="F122" s="55" t="n">
        <f aca="false">'Sens Calc'!E51</f>
        <v>-0.291232633593037</v>
      </c>
      <c r="G122" s="55" t="n">
        <f aca="false">'Sens Calc'!F51</f>
        <v>-0.0877720273887756</v>
      </c>
      <c r="H122" s="55" t="n">
        <f aca="false">'Sens Calc'!G51</f>
        <v>0.0315984647182028</v>
      </c>
      <c r="I122" s="55" t="n">
        <f aca="false">'Sens Calc'!H51</f>
        <v>0.117707388124532</v>
      </c>
    </row>
    <row r="123" customFormat="false" ht="15" hidden="false" customHeight="false" outlineLevel="0" collapsed="false">
      <c r="D123" s="57" t="n">
        <f aca="false">EDATE($D$19,12)</f>
        <v>46873</v>
      </c>
      <c r="E123" s="55" t="n">
        <f aca="false">'Sens Calc'!D56</f>
        <v>-1</v>
      </c>
      <c r="F123" s="55" t="n">
        <f aca="false">'Sens Calc'!E56</f>
        <v>-0.335372004030273</v>
      </c>
      <c r="G123" s="55" t="n">
        <f aca="false">'Sens Calc'!F56</f>
        <v>-0.111445938042133</v>
      </c>
      <c r="H123" s="55" t="n">
        <f aca="false">'Sens Calc'!G56</f>
        <v>0.00551718963570952</v>
      </c>
      <c r="I123" s="55" t="n">
        <f aca="false">'Sens Calc'!H56</f>
        <v>0.0869513490876673</v>
      </c>
    </row>
    <row r="125" customFormat="false" ht="15" hidden="false" customHeight="false" outlineLevel="0" collapsed="false">
      <c r="B125" s="59" t="s">
        <v>124</v>
      </c>
    </row>
    <row r="127" customFormat="false" ht="15" hidden="false" customHeight="false" outlineLevel="0" collapsed="false">
      <c r="B127" s="8" t="s">
        <v>125</v>
      </c>
      <c r="C127" s="9"/>
      <c r="D127" s="9"/>
      <c r="E127" s="9"/>
      <c r="F127" s="9"/>
      <c r="G127" s="9"/>
      <c r="H127" s="9"/>
      <c r="I127" s="9"/>
    </row>
    <row r="128" customFormat="false" ht="15" hidden="false" customHeight="false" outlineLevel="0" collapsed="false">
      <c r="B128" s="23" t="s">
        <v>126</v>
      </c>
      <c r="D128" s="34" t="n">
        <f aca="false">ROUND(D32-D26,6)</f>
        <v>0</v>
      </c>
    </row>
    <row r="129" customFormat="false" ht="15" hidden="false" customHeight="false" outlineLevel="0" collapsed="false">
      <c r="B129" s="23" t="s">
        <v>127</v>
      </c>
      <c r="D129" s="34" t="n">
        <f aca="false">ROUND(I64-($D$13*(1+$D$14)^(($D$19-$D$7)/365.25)+$D$15*(1+$D$16)^(($D$19-$D$7)/365.25)),6)</f>
        <v>0</v>
      </c>
    </row>
    <row r="130" customFormat="false" ht="15" hidden="false" customHeight="false" outlineLevel="0" collapsed="false">
      <c r="B130" s="23" t="s">
        <v>128</v>
      </c>
      <c r="D130" s="34" t="n">
        <f aca="false">ROUND(G97-D84,6)+ROUND(G113-D84,6)</f>
        <v>0</v>
      </c>
    </row>
    <row r="131" customFormat="false" ht="15" hidden="false" customHeight="false" outlineLevel="0" collapsed="false">
      <c r="B131" s="23" t="s">
        <v>129</v>
      </c>
      <c r="D131" s="34" t="n">
        <f aca="false">ROUND(G105-D85,6)+ROUND(G121-D85,6)</f>
        <v>0</v>
      </c>
    </row>
    <row r="132" customFormat="false" ht="15" hidden="false" customHeight="false" outlineLevel="0" collapsed="false">
      <c r="B132" s="10" t="s">
        <v>130</v>
      </c>
      <c r="D132" s="60" t="str">
        <f aca="false">IF(SUMPRODUCT(ABS(D128:D131))=0,"OK","ERROR")</f>
        <v>OK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91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8" min="3" style="0" width="12"/>
  </cols>
  <sheetData>
    <row r="2" customFormat="false" ht="15" hidden="false" customHeight="false" outlineLevel="0" collapsed="false">
      <c r="B2" s="10" t="s">
        <v>131</v>
      </c>
    </row>
    <row r="3" customFormat="false" ht="15" hidden="false" customHeight="false" outlineLevel="0" collapsed="false">
      <c r="B3" s="2" t="s">
        <v>132</v>
      </c>
    </row>
    <row r="5" customFormat="false" ht="15" hidden="false" customHeight="false" outlineLevel="0" collapsed="false">
      <c r="B5" s="8" t="s">
        <v>133</v>
      </c>
      <c r="C5" s="9"/>
      <c r="D5" s="9"/>
      <c r="E5" s="9"/>
      <c r="F5" s="9"/>
      <c r="G5" s="9"/>
      <c r="H5" s="9"/>
    </row>
    <row r="6" customFormat="false" ht="15" hidden="false" customHeight="false" outlineLevel="0" collapsed="false">
      <c r="B6" s="23" t="s">
        <v>134</v>
      </c>
      <c r="C6" s="61" t="n">
        <f aca="false">LBO!$D$7</f>
        <v>44652</v>
      </c>
      <c r="D6" s="24" t="n">
        <f aca="false">-(LBO!$D$103*LBO!$D$9-LBO!$D$13-LBO!$D$15)</f>
        <v>-12.5</v>
      </c>
      <c r="E6" s="24" t="n">
        <f aca="false">-(LBO!$D$103*LBO!$D$9-LBO!$D$13-LBO!$D$15)</f>
        <v>-12.5</v>
      </c>
      <c r="F6" s="24" t="n">
        <f aca="false">-(LBO!$D$103*LBO!$D$9-LBO!$D$13-LBO!$D$15)</f>
        <v>-12.5</v>
      </c>
      <c r="G6" s="24" t="n">
        <f aca="false">-(LBO!$D$103*LBO!$D$9-LBO!$D$13-LBO!$D$15)</f>
        <v>-12.5</v>
      </c>
      <c r="H6" s="24" t="n">
        <f aca="false">-(LBO!$D$103*LBO!$D$9-LBO!$D$13-LBO!$D$15)</f>
        <v>-12.5</v>
      </c>
    </row>
    <row r="7" customFormat="false" ht="15" hidden="false" customHeight="false" outlineLevel="0" collapsed="false">
      <c r="B7" s="23" t="s">
        <v>104</v>
      </c>
      <c r="C7" s="61" t="n">
        <f aca="false">LBO!$D$17</f>
        <v>45672</v>
      </c>
      <c r="D7" s="24" t="n">
        <f aca="false">-LBO!$D$18</f>
        <v>-67</v>
      </c>
      <c r="E7" s="24" t="n">
        <f aca="false">-LBO!$D$18</f>
        <v>-67</v>
      </c>
      <c r="F7" s="24" t="n">
        <f aca="false">-LBO!$D$18</f>
        <v>-67</v>
      </c>
      <c r="G7" s="24" t="n">
        <f aca="false">-LBO!$D$18</f>
        <v>-67</v>
      </c>
      <c r="H7" s="24" t="n">
        <f aca="false">-LBO!$D$18</f>
        <v>-67</v>
      </c>
    </row>
    <row r="8" customFormat="false" ht="15" hidden="false" customHeight="false" outlineLevel="0" collapsed="false">
      <c r="B8" s="23" t="s">
        <v>105</v>
      </c>
      <c r="C8" s="61" t="n">
        <f aca="false">LBO!$D$19</f>
        <v>46507</v>
      </c>
      <c r="D8" s="24" t="n">
        <f aca="false">LBO!E95*-(D6+D7)</f>
        <v>0</v>
      </c>
      <c r="E8" s="24" t="n">
        <f aca="false">LBO!F95*-(E6+E7)</f>
        <v>40.9416739123643</v>
      </c>
      <c r="F8" s="24" t="n">
        <f aca="false">LBO!G95*-(F6+F7)</f>
        <v>83.4330920941825</v>
      </c>
      <c r="G8" s="24" t="n">
        <f aca="false">LBO!H95*-(G6+G7)</f>
        <v>125.924510276001</v>
      </c>
      <c r="H8" s="24" t="n">
        <f aca="false">LBO!I95*-(H6+H7)</f>
        <v>168.415928457819</v>
      </c>
    </row>
    <row r="9" customFormat="false" ht="15" hidden="false" customHeight="false" outlineLevel="0" collapsed="false">
      <c r="B9" s="42" t="s">
        <v>135</v>
      </c>
      <c r="D9" s="32" t="n">
        <f aca="false">IF(D8&gt;0,XIRR(D6:D8,$C6:$C8),-1)</f>
        <v>-1</v>
      </c>
      <c r="E9" s="32" t="n">
        <f aca="false">IF(E8&gt;0,XIRR(E6:E8,$C6:$C8),-1)</f>
        <v>-0.224077688014686</v>
      </c>
      <c r="F9" s="32" t="n">
        <f aca="false">IF(F8&gt;0,XIRR(F6:F8,$C6:$C8),-1)</f>
        <v>0.0178038485487718</v>
      </c>
      <c r="G9" s="32" t="n">
        <f aca="false">IF(G8&gt;0,XIRR(G6:G8,$C6:$C8),-1)</f>
        <v>0.177116468478539</v>
      </c>
      <c r="H9" s="32" t="n">
        <f aca="false">IF(H8&gt;0,XIRR(H6:H8,$C6:$C8),-1)</f>
        <v>0.29720877054739</v>
      </c>
    </row>
    <row r="11" customFormat="false" ht="15" hidden="false" customHeight="false" outlineLevel="0" collapsed="false">
      <c r="B11" s="23" t="s">
        <v>136</v>
      </c>
      <c r="C11" s="61" t="n">
        <f aca="false">LBO!$D$7</f>
        <v>44652</v>
      </c>
      <c r="D11" s="24" t="n">
        <f aca="false">-(LBO!$D$104*LBO!$D$9-LBO!$D$13-LBO!$D$15)</f>
        <v>-24.25</v>
      </c>
      <c r="E11" s="24" t="n">
        <f aca="false">-(LBO!$D$104*LBO!$D$9-LBO!$D$13-LBO!$D$15)</f>
        <v>-24.25</v>
      </c>
      <c r="F11" s="24" t="n">
        <f aca="false">-(LBO!$D$104*LBO!$D$9-LBO!$D$13-LBO!$D$15)</f>
        <v>-24.25</v>
      </c>
      <c r="G11" s="24" t="n">
        <f aca="false">-(LBO!$D$104*LBO!$D$9-LBO!$D$13-LBO!$D$15)</f>
        <v>-24.25</v>
      </c>
      <c r="H11" s="24" t="n">
        <f aca="false">-(LBO!$D$104*LBO!$D$9-LBO!$D$13-LBO!$D$15)</f>
        <v>-24.25</v>
      </c>
    </row>
    <row r="12" customFormat="false" ht="15" hidden="false" customHeight="false" outlineLevel="0" collapsed="false">
      <c r="B12" s="23" t="s">
        <v>104</v>
      </c>
      <c r="C12" s="61" t="n">
        <f aca="false">LBO!$D$17</f>
        <v>45672</v>
      </c>
      <c r="D12" s="24" t="n">
        <f aca="false">-LBO!$D$18</f>
        <v>-67</v>
      </c>
      <c r="E12" s="24" t="n">
        <f aca="false">-LBO!$D$18</f>
        <v>-67</v>
      </c>
      <c r="F12" s="24" t="n">
        <f aca="false">-LBO!$D$18</f>
        <v>-67</v>
      </c>
      <c r="G12" s="24" t="n">
        <f aca="false">-LBO!$D$18</f>
        <v>-67</v>
      </c>
      <c r="H12" s="24" t="n">
        <f aca="false">-LBO!$D$18</f>
        <v>-67</v>
      </c>
    </row>
    <row r="13" customFormat="false" ht="15" hidden="false" customHeight="false" outlineLevel="0" collapsed="false">
      <c r="B13" s="23" t="s">
        <v>105</v>
      </c>
      <c r="C13" s="61" t="n">
        <f aca="false">LBO!$D$19</f>
        <v>46507</v>
      </c>
      <c r="D13" s="24" t="n">
        <f aca="false">LBO!E96*-(D11+D12)</f>
        <v>0</v>
      </c>
      <c r="E13" s="24" t="n">
        <f aca="false">LBO!F96*-(E11+E12)</f>
        <v>40.9416739123643</v>
      </c>
      <c r="F13" s="24" t="n">
        <f aca="false">LBO!G96*-(F11+F12)</f>
        <v>83.4330920941825</v>
      </c>
      <c r="G13" s="24" t="n">
        <f aca="false">LBO!H96*-(G11+G12)</f>
        <v>125.924510276001</v>
      </c>
      <c r="H13" s="24" t="n">
        <f aca="false">LBO!I96*-(H11+H12)</f>
        <v>168.415928457819</v>
      </c>
    </row>
    <row r="14" customFormat="false" ht="15" hidden="false" customHeight="false" outlineLevel="0" collapsed="false">
      <c r="B14" s="42" t="s">
        <v>135</v>
      </c>
      <c r="D14" s="32" t="n">
        <f aca="false">IF(D13&gt;0,XIRR(D11:D13,$C11:$C13),-1)</f>
        <v>-1</v>
      </c>
      <c r="E14" s="32" t="n">
        <f aca="false">IF(E13&gt;0,XIRR(E11:E13,$C11:$C13),-1)</f>
        <v>-0.245665942950405</v>
      </c>
      <c r="F14" s="32" t="n">
        <f aca="false">IF(F13&gt;0,XIRR(F11:F13,$C11:$C13),-1)</f>
        <v>-0.029335016538427</v>
      </c>
      <c r="G14" s="32" t="n">
        <f aca="false">IF(G13&gt;0,XIRR(G11:G13,$C11:$C13),-1)</f>
        <v>0.109018876150178</v>
      </c>
      <c r="H14" s="32" t="n">
        <f aca="false">IF(H13&gt;0,XIRR(H11:H13,$C11:$C13),-1)</f>
        <v>0.211934938682213</v>
      </c>
    </row>
    <row r="16" customFormat="false" ht="15" hidden="false" customHeight="false" outlineLevel="0" collapsed="false">
      <c r="B16" s="23" t="s">
        <v>137</v>
      </c>
      <c r="C16" s="61" t="n">
        <f aca="false">LBO!$D$7</f>
        <v>44652</v>
      </c>
      <c r="D16" s="24" t="n">
        <f aca="false">-(LBO!$D$105*LBO!$D$9-LBO!$D$13-LBO!$D$15)</f>
        <v>-36</v>
      </c>
      <c r="E16" s="24" t="n">
        <f aca="false">-(LBO!$D$105*LBO!$D$9-LBO!$D$13-LBO!$D$15)</f>
        <v>-36</v>
      </c>
      <c r="F16" s="24" t="n">
        <f aca="false">-(LBO!$D$105*LBO!$D$9-LBO!$D$13-LBO!$D$15)</f>
        <v>-36</v>
      </c>
      <c r="G16" s="24" t="n">
        <f aca="false">-(LBO!$D$105*LBO!$D$9-LBO!$D$13-LBO!$D$15)</f>
        <v>-36</v>
      </c>
      <c r="H16" s="24" t="n">
        <f aca="false">-(LBO!$D$105*LBO!$D$9-LBO!$D$13-LBO!$D$15)</f>
        <v>-36</v>
      </c>
    </row>
    <row r="17" customFormat="false" ht="15" hidden="false" customHeight="false" outlineLevel="0" collapsed="false">
      <c r="B17" s="23" t="s">
        <v>104</v>
      </c>
      <c r="C17" s="61" t="n">
        <f aca="false">LBO!$D$17</f>
        <v>45672</v>
      </c>
      <c r="D17" s="24" t="n">
        <f aca="false">-LBO!$D$18</f>
        <v>-67</v>
      </c>
      <c r="E17" s="24" t="n">
        <f aca="false">-LBO!$D$18</f>
        <v>-67</v>
      </c>
      <c r="F17" s="24" t="n">
        <f aca="false">-LBO!$D$18</f>
        <v>-67</v>
      </c>
      <c r="G17" s="24" t="n">
        <f aca="false">-LBO!$D$18</f>
        <v>-67</v>
      </c>
      <c r="H17" s="24" t="n">
        <f aca="false">-LBO!$D$18</f>
        <v>-67</v>
      </c>
    </row>
    <row r="18" customFormat="false" ht="15" hidden="false" customHeight="false" outlineLevel="0" collapsed="false">
      <c r="B18" s="23" t="s">
        <v>105</v>
      </c>
      <c r="C18" s="61" t="n">
        <f aca="false">LBO!$D$19</f>
        <v>46507</v>
      </c>
      <c r="D18" s="24" t="n">
        <f aca="false">LBO!E97*-(D16+D17)</f>
        <v>0</v>
      </c>
      <c r="E18" s="24" t="n">
        <f aca="false">LBO!F97*-(E16+E17)</f>
        <v>40.9416739123643</v>
      </c>
      <c r="F18" s="24" t="n">
        <f aca="false">LBO!G97*-(F16+F17)</f>
        <v>83.4330920941825</v>
      </c>
      <c r="G18" s="24" t="n">
        <f aca="false">LBO!H97*-(G16+G17)</f>
        <v>125.924510276001</v>
      </c>
      <c r="H18" s="24" t="n">
        <f aca="false">LBO!I97*-(H16+H17)</f>
        <v>168.415928457819</v>
      </c>
    </row>
    <row r="19" customFormat="false" ht="15" hidden="false" customHeight="false" outlineLevel="0" collapsed="false">
      <c r="B19" s="42" t="s">
        <v>135</v>
      </c>
      <c r="D19" s="32" t="n">
        <f aca="false">IF(D18&gt;0,XIRR(D16:D18,$C16:$C18),-1)</f>
        <v>-1</v>
      </c>
      <c r="E19" s="32" t="n">
        <f aca="false">IF(E18&gt;0,XIRR(E16:E18,$C16:$C18),-1)</f>
        <v>-0.263166389315216</v>
      </c>
      <c r="F19" s="32" t="n">
        <f aca="false">IF(F18&gt;0,XIRR(F16:F18,$C16:$C18),-1)</f>
        <v>-0.0635795593324971</v>
      </c>
      <c r="G19" s="32" t="n">
        <f aca="false">IF(G18&gt;0,XIRR(G16:G18,$C16:$C18),-1)</f>
        <v>0.0624167372200015</v>
      </c>
      <c r="H19" s="32" t="n">
        <f aca="false">IF(H18&gt;0,XIRR(H16:H18,$C16:$C18),-1)</f>
        <v>0.15572877334642</v>
      </c>
    </row>
    <row r="21" customFormat="false" ht="15" hidden="false" customHeight="false" outlineLevel="0" collapsed="false">
      <c r="B21" s="23" t="s">
        <v>138</v>
      </c>
      <c r="C21" s="61" t="n">
        <f aca="false">LBO!$D$7</f>
        <v>44652</v>
      </c>
      <c r="D21" s="24" t="n">
        <f aca="false">-(LBO!$D$106*LBO!$D$9-LBO!$D$13-LBO!$D$15)</f>
        <v>-47.75</v>
      </c>
      <c r="E21" s="24" t="n">
        <f aca="false">-(LBO!$D$106*LBO!$D$9-LBO!$D$13-LBO!$D$15)</f>
        <v>-47.75</v>
      </c>
      <c r="F21" s="24" t="n">
        <f aca="false">-(LBO!$D$106*LBO!$D$9-LBO!$D$13-LBO!$D$15)</f>
        <v>-47.75</v>
      </c>
      <c r="G21" s="24" t="n">
        <f aca="false">-(LBO!$D$106*LBO!$D$9-LBO!$D$13-LBO!$D$15)</f>
        <v>-47.75</v>
      </c>
      <c r="H21" s="24" t="n">
        <f aca="false">-(LBO!$D$106*LBO!$D$9-LBO!$D$13-LBO!$D$15)</f>
        <v>-47.75</v>
      </c>
    </row>
    <row r="22" customFormat="false" ht="15" hidden="false" customHeight="false" outlineLevel="0" collapsed="false">
      <c r="B22" s="23" t="s">
        <v>104</v>
      </c>
      <c r="C22" s="61" t="n">
        <f aca="false">LBO!$D$17</f>
        <v>45672</v>
      </c>
      <c r="D22" s="24" t="n">
        <f aca="false">-LBO!$D$18</f>
        <v>-67</v>
      </c>
      <c r="E22" s="24" t="n">
        <f aca="false">-LBO!$D$18</f>
        <v>-67</v>
      </c>
      <c r="F22" s="24" t="n">
        <f aca="false">-LBO!$D$18</f>
        <v>-67</v>
      </c>
      <c r="G22" s="24" t="n">
        <f aca="false">-LBO!$D$18</f>
        <v>-67</v>
      </c>
      <c r="H22" s="24" t="n">
        <f aca="false">-LBO!$D$18</f>
        <v>-67</v>
      </c>
    </row>
    <row r="23" customFormat="false" ht="15" hidden="false" customHeight="false" outlineLevel="0" collapsed="false">
      <c r="B23" s="23" t="s">
        <v>105</v>
      </c>
      <c r="C23" s="61" t="n">
        <f aca="false">LBO!$D$19</f>
        <v>46507</v>
      </c>
      <c r="D23" s="24" t="n">
        <f aca="false">LBO!E98*-(D21+D22)</f>
        <v>0</v>
      </c>
      <c r="E23" s="24" t="n">
        <f aca="false">LBO!F98*-(E21+E22)</f>
        <v>40.9416739123643</v>
      </c>
      <c r="F23" s="24" t="n">
        <f aca="false">LBO!G98*-(F21+F22)</f>
        <v>83.4330920941825</v>
      </c>
      <c r="G23" s="24" t="n">
        <f aca="false">LBO!H98*-(G21+G22)</f>
        <v>125.924510276001</v>
      </c>
      <c r="H23" s="24" t="n">
        <f aca="false">LBO!I98*-(H21+H22)</f>
        <v>168.415928457819</v>
      </c>
    </row>
    <row r="24" customFormat="false" ht="15" hidden="false" customHeight="false" outlineLevel="0" collapsed="false">
      <c r="B24" s="42" t="s">
        <v>135</v>
      </c>
      <c r="D24" s="32" t="n">
        <f aca="false">IF(D23&gt;0,XIRR(D21:D23,$C21:$C23),-1)</f>
        <v>-1</v>
      </c>
      <c r="E24" s="32" t="n">
        <f aca="false">IF(E23&gt;0,XIRR(E21:E23,$C21:$C23),-1)</f>
        <v>-0.277885522400677</v>
      </c>
      <c r="F24" s="32" t="n">
        <f aca="false">IF(F23&gt;0,XIRR(F21:F23,$C21:$C23),-1)</f>
        <v>-0.0904390938899305</v>
      </c>
      <c r="G24" s="32" t="n">
        <f aca="false">IF(G23&gt;0,XIRR(G21:G23,$C21:$C23),-1)</f>
        <v>0.0270944082355614</v>
      </c>
      <c r="H24" s="32" t="n">
        <f aca="false">IF(H23&gt;0,XIRR(H21:H23,$C21:$C23),-1)</f>
        <v>0.113990148365409</v>
      </c>
    </row>
    <row r="26" customFormat="false" ht="15" hidden="false" customHeight="false" outlineLevel="0" collapsed="false">
      <c r="B26" s="23" t="s">
        <v>139</v>
      </c>
      <c r="C26" s="61" t="n">
        <f aca="false">LBO!$D$7</f>
        <v>44652</v>
      </c>
      <c r="D26" s="24" t="n">
        <f aca="false">-(LBO!$D$107*LBO!$D$9-LBO!$D$13-LBO!$D$15)</f>
        <v>-59.5</v>
      </c>
      <c r="E26" s="24" t="n">
        <f aca="false">-(LBO!$D$107*LBO!$D$9-LBO!$D$13-LBO!$D$15)</f>
        <v>-59.5</v>
      </c>
      <c r="F26" s="24" t="n">
        <f aca="false">-(LBO!$D$107*LBO!$D$9-LBO!$D$13-LBO!$D$15)</f>
        <v>-59.5</v>
      </c>
      <c r="G26" s="24" t="n">
        <f aca="false">-(LBO!$D$107*LBO!$D$9-LBO!$D$13-LBO!$D$15)</f>
        <v>-59.5</v>
      </c>
      <c r="H26" s="24" t="n">
        <f aca="false">-(LBO!$D$107*LBO!$D$9-LBO!$D$13-LBO!$D$15)</f>
        <v>-59.5</v>
      </c>
    </row>
    <row r="27" customFormat="false" ht="15" hidden="false" customHeight="false" outlineLevel="0" collapsed="false">
      <c r="B27" s="23" t="s">
        <v>104</v>
      </c>
      <c r="C27" s="61" t="n">
        <f aca="false">LBO!$D$17</f>
        <v>45672</v>
      </c>
      <c r="D27" s="24" t="n">
        <f aca="false">-LBO!$D$18</f>
        <v>-67</v>
      </c>
      <c r="E27" s="24" t="n">
        <f aca="false">-LBO!$D$18</f>
        <v>-67</v>
      </c>
      <c r="F27" s="24" t="n">
        <f aca="false">-LBO!$D$18</f>
        <v>-67</v>
      </c>
      <c r="G27" s="24" t="n">
        <f aca="false">-LBO!$D$18</f>
        <v>-67</v>
      </c>
      <c r="H27" s="24" t="n">
        <f aca="false">-LBO!$D$18</f>
        <v>-67</v>
      </c>
    </row>
    <row r="28" customFormat="false" ht="15" hidden="false" customHeight="false" outlineLevel="0" collapsed="false">
      <c r="B28" s="23" t="s">
        <v>105</v>
      </c>
      <c r="C28" s="61" t="n">
        <f aca="false">LBO!$D$19</f>
        <v>46507</v>
      </c>
      <c r="D28" s="24" t="n">
        <f aca="false">LBO!E99*-(D26+D27)</f>
        <v>0</v>
      </c>
      <c r="E28" s="24" t="n">
        <f aca="false">LBO!F99*-(E26+E27)</f>
        <v>40.9416739123643</v>
      </c>
      <c r="F28" s="24" t="n">
        <f aca="false">LBO!G99*-(F26+F27)</f>
        <v>83.4330920941825</v>
      </c>
      <c r="G28" s="24" t="n">
        <f aca="false">LBO!H99*-(G26+G27)</f>
        <v>125.924510276001</v>
      </c>
      <c r="H28" s="24" t="n">
        <f aca="false">LBO!I99*-(H26+H27)</f>
        <v>168.415928457819</v>
      </c>
    </row>
    <row r="29" customFormat="false" ht="15" hidden="false" customHeight="false" outlineLevel="0" collapsed="false">
      <c r="B29" s="42" t="s">
        <v>135</v>
      </c>
      <c r="D29" s="32" t="n">
        <f aca="false">IF(D28&gt;0,XIRR(D26:D28,$C26:$C28),-1)</f>
        <v>-1</v>
      </c>
      <c r="E29" s="32" t="n">
        <f aca="false">IF(E28&gt;0,XIRR(E26:E28,$C26:$C28),-1)</f>
        <v>-0.290584740202712</v>
      </c>
      <c r="F29" s="32" t="n">
        <f aca="false">IF(F28&gt;0,XIRR(F26:F28,$C26:$C28),-1)</f>
        <v>-0.112500380493794</v>
      </c>
      <c r="G29" s="32" t="n">
        <f aca="false">IF(G28&gt;0,XIRR(G26:G28,$C26:$C28),-1)</f>
        <v>-0.00126548157051101</v>
      </c>
      <c r="H29" s="32" t="n">
        <f aca="false">IF(H28&gt;0,XIRR(H26:H28,$C26:$C28),-1)</f>
        <v>0.0809209147043785</v>
      </c>
    </row>
    <row r="32" customFormat="false" ht="15" hidden="false" customHeight="false" outlineLevel="0" collapsed="false">
      <c r="B32" s="8" t="s">
        <v>140</v>
      </c>
      <c r="C32" s="9"/>
      <c r="D32" s="9"/>
      <c r="E32" s="9"/>
      <c r="F32" s="9"/>
      <c r="G32" s="9"/>
      <c r="H32" s="9"/>
    </row>
    <row r="33" customFormat="false" ht="15" hidden="false" customHeight="false" outlineLevel="0" collapsed="false">
      <c r="B33" s="23" t="s">
        <v>134</v>
      </c>
      <c r="C33" s="61" t="n">
        <f aca="false">LBO!$D$7</f>
        <v>44652</v>
      </c>
      <c r="D33" s="24" t="n">
        <f aca="false">-(LBO!$D$8*LBO!$D$9-LBO!$D$13-LBO!$D$15)</f>
        <v>-36</v>
      </c>
      <c r="E33" s="24" t="n">
        <f aca="false">-(LBO!$D$8*LBO!$D$9-LBO!$D$13-LBO!$D$15)</f>
        <v>-36</v>
      </c>
      <c r="F33" s="24" t="n">
        <f aca="false">-(LBO!$D$8*LBO!$D$9-LBO!$D$13-LBO!$D$15)</f>
        <v>-36</v>
      </c>
      <c r="G33" s="24" t="n">
        <f aca="false">-(LBO!$D$8*LBO!$D$9-LBO!$D$13-LBO!$D$15)</f>
        <v>-36</v>
      </c>
      <c r="H33" s="24" t="n">
        <f aca="false">-(LBO!$D$8*LBO!$D$9-LBO!$D$13-LBO!$D$15)</f>
        <v>-36</v>
      </c>
    </row>
    <row r="34" customFormat="false" ht="15" hidden="false" customHeight="false" outlineLevel="0" collapsed="false">
      <c r="B34" s="23" t="s">
        <v>104</v>
      </c>
      <c r="C34" s="61" t="n">
        <f aca="false">LBO!$D$17</f>
        <v>45672</v>
      </c>
      <c r="D34" s="24" t="n">
        <f aca="false">-LBO!$D$18</f>
        <v>-67</v>
      </c>
      <c r="E34" s="24" t="n">
        <f aca="false">-LBO!$D$18</f>
        <v>-67</v>
      </c>
      <c r="F34" s="24" t="n">
        <f aca="false">-LBO!$D$18</f>
        <v>-67</v>
      </c>
      <c r="G34" s="24" t="n">
        <f aca="false">-LBO!$D$18</f>
        <v>-67</v>
      </c>
      <c r="H34" s="24" t="n">
        <f aca="false">-LBO!$D$18</f>
        <v>-67</v>
      </c>
    </row>
    <row r="35" customFormat="false" ht="15" hidden="false" customHeight="false" outlineLevel="0" collapsed="false">
      <c r="B35" s="23" t="s">
        <v>105</v>
      </c>
      <c r="C35" s="61" t="n">
        <f aca="false">LBO!$D$111</f>
        <v>46142</v>
      </c>
      <c r="D35" s="24" t="n">
        <f aca="false">LBO!E111*-(D33+D34)</f>
        <v>17.2251437991421</v>
      </c>
      <c r="E35" s="24" t="n">
        <f aca="false">LBO!F111*-(E33+E34)</f>
        <v>59.7165619809603</v>
      </c>
      <c r="F35" s="24" t="n">
        <f aca="false">LBO!G111*-(F33+F34)</f>
        <v>102.207980162778</v>
      </c>
      <c r="G35" s="24" t="n">
        <f aca="false">LBO!H111*-(G33+G34)</f>
        <v>144.699398344597</v>
      </c>
      <c r="H35" s="24" t="n">
        <f aca="false">LBO!I111*-(H33+H34)</f>
        <v>187.190816526415</v>
      </c>
    </row>
    <row r="36" customFormat="false" ht="15" hidden="false" customHeight="false" outlineLevel="0" collapsed="false">
      <c r="B36" s="42" t="s">
        <v>135</v>
      </c>
      <c r="D36" s="32" t="n">
        <f aca="false">IF(D35&gt;0,XIRR(D33:D35,$C33:$C35),-1)</f>
        <v>-0.658794753468797</v>
      </c>
      <c r="E36" s="32" t="n">
        <f aca="false">IF(E35&gt;0,XIRR(E33:E35,$C33:$C35),-1)</f>
        <v>-0.233602147494302</v>
      </c>
      <c r="F36" s="32" t="n">
        <f aca="false">IF(F35&gt;0,XIRR(F33:F35,$C33:$C35),-1)</f>
        <v>-0.00340770052621129</v>
      </c>
      <c r="G36" s="32" t="n">
        <f aca="false">IF(G35&gt;0,XIRR(G33:G35,$C33:$C35),-1)</f>
        <v>0.15251588504666</v>
      </c>
      <c r="H36" s="32" t="n">
        <f aca="false">IF(H35&gt;0,XIRR(H33:H35,$C33:$C35),-1)</f>
        <v>0.27133590859867</v>
      </c>
    </row>
    <row r="38" customFormat="false" ht="15" hidden="false" customHeight="false" outlineLevel="0" collapsed="false">
      <c r="B38" s="23" t="s">
        <v>136</v>
      </c>
      <c r="C38" s="61" t="n">
        <f aca="false">LBO!$D$7</f>
        <v>44652</v>
      </c>
      <c r="D38" s="24" t="n">
        <f aca="false">-(LBO!$D$8*LBO!$D$9-LBO!$D$13-LBO!$D$15)</f>
        <v>-36</v>
      </c>
      <c r="E38" s="24" t="n">
        <f aca="false">-(LBO!$D$8*LBO!$D$9-LBO!$D$13-LBO!$D$15)</f>
        <v>-36</v>
      </c>
      <c r="F38" s="24" t="n">
        <f aca="false">-(LBO!$D$8*LBO!$D$9-LBO!$D$13-LBO!$D$15)</f>
        <v>-36</v>
      </c>
      <c r="G38" s="24" t="n">
        <f aca="false">-(LBO!$D$8*LBO!$D$9-LBO!$D$13-LBO!$D$15)</f>
        <v>-36</v>
      </c>
      <c r="H38" s="24" t="n">
        <f aca="false">-(LBO!$D$8*LBO!$D$9-LBO!$D$13-LBO!$D$15)</f>
        <v>-36</v>
      </c>
    </row>
    <row r="39" customFormat="false" ht="15" hidden="false" customHeight="false" outlineLevel="0" collapsed="false">
      <c r="B39" s="23" t="s">
        <v>104</v>
      </c>
      <c r="C39" s="61" t="n">
        <f aca="false">LBO!$D$17</f>
        <v>45672</v>
      </c>
      <c r="D39" s="24" t="n">
        <f aca="false">-LBO!$D$18</f>
        <v>-67</v>
      </c>
      <c r="E39" s="24" t="n">
        <f aca="false">-LBO!$D$18</f>
        <v>-67</v>
      </c>
      <c r="F39" s="24" t="n">
        <f aca="false">-LBO!$D$18</f>
        <v>-67</v>
      </c>
      <c r="G39" s="24" t="n">
        <f aca="false">-LBO!$D$18</f>
        <v>-67</v>
      </c>
      <c r="H39" s="24" t="n">
        <f aca="false">-LBO!$D$18</f>
        <v>-67</v>
      </c>
    </row>
    <row r="40" customFormat="false" ht="15" hidden="false" customHeight="false" outlineLevel="0" collapsed="false">
      <c r="B40" s="23" t="s">
        <v>105</v>
      </c>
      <c r="C40" s="61" t="n">
        <f aca="false">LBO!$D$112</f>
        <v>46325</v>
      </c>
      <c r="D40" s="24" t="n">
        <f aca="false">LBO!E112*-(D38+D39)</f>
        <v>8.00868144178341</v>
      </c>
      <c r="E40" s="24" t="n">
        <f aca="false">LBO!F112*-(E38+E39)</f>
        <v>50.5000996236016</v>
      </c>
      <c r="F40" s="24" t="n">
        <f aca="false">LBO!G112*-(F38+F39)</f>
        <v>92.9915178054198</v>
      </c>
      <c r="G40" s="24" t="n">
        <f aca="false">LBO!H112*-(G38+G39)</f>
        <v>135.482935987238</v>
      </c>
      <c r="H40" s="24" t="n">
        <f aca="false">LBO!I112*-(H38+H39)</f>
        <v>177.974354169056</v>
      </c>
    </row>
    <row r="41" customFormat="false" ht="15" hidden="false" customHeight="false" outlineLevel="0" collapsed="false">
      <c r="B41" s="42" t="s">
        <v>135</v>
      </c>
      <c r="D41" s="32" t="n">
        <f aca="false">IF(D40&gt;0,XIRR(D38:D40,$C38:$C40),-1)</f>
        <v>-0.698139041589094</v>
      </c>
      <c r="E41" s="32" t="n">
        <f aca="false">IF(E40&gt;0,XIRR(E38:E40,$C38:$C40),-1)</f>
        <v>-0.244695553599209</v>
      </c>
      <c r="F41" s="32" t="n">
        <f aca="false">IF(F40&gt;0,XIRR(F38:F40,$C38:$C40),-1)</f>
        <v>-0.0367125936444303</v>
      </c>
      <c r="G41" s="32" t="n">
        <f aca="false">IF(G40&gt;0,XIRR(G38:G40,$C38:$C40),-1)</f>
        <v>0.1008416132954</v>
      </c>
      <c r="H41" s="32" t="n">
        <f aca="false">IF(H40&gt;0,XIRR(H38:H40,$C38:$C40),-1)</f>
        <v>0.20459620380188</v>
      </c>
    </row>
    <row r="43" customFormat="false" ht="15" hidden="false" customHeight="false" outlineLevel="0" collapsed="false">
      <c r="B43" s="23" t="s">
        <v>137</v>
      </c>
      <c r="C43" s="61" t="n">
        <f aca="false">LBO!$D$7</f>
        <v>44652</v>
      </c>
      <c r="D43" s="24" t="n">
        <f aca="false">-(LBO!$D$8*LBO!$D$9-LBO!$D$13-LBO!$D$15)</f>
        <v>-36</v>
      </c>
      <c r="E43" s="24" t="n">
        <f aca="false">-(LBO!$D$8*LBO!$D$9-LBO!$D$13-LBO!$D$15)</f>
        <v>-36</v>
      </c>
      <c r="F43" s="24" t="n">
        <f aca="false">-(LBO!$D$8*LBO!$D$9-LBO!$D$13-LBO!$D$15)</f>
        <v>-36</v>
      </c>
      <c r="G43" s="24" t="n">
        <f aca="false">-(LBO!$D$8*LBO!$D$9-LBO!$D$13-LBO!$D$15)</f>
        <v>-36</v>
      </c>
      <c r="H43" s="24" t="n">
        <f aca="false">-(LBO!$D$8*LBO!$D$9-LBO!$D$13-LBO!$D$15)</f>
        <v>-36</v>
      </c>
    </row>
    <row r="44" customFormat="false" ht="15" hidden="false" customHeight="false" outlineLevel="0" collapsed="false">
      <c r="B44" s="23" t="s">
        <v>104</v>
      </c>
      <c r="C44" s="61" t="n">
        <f aca="false">LBO!$D$17</f>
        <v>45672</v>
      </c>
      <c r="D44" s="24" t="n">
        <f aca="false">-LBO!$D$18</f>
        <v>-67</v>
      </c>
      <c r="E44" s="24" t="n">
        <f aca="false">-LBO!$D$18</f>
        <v>-67</v>
      </c>
      <c r="F44" s="24" t="n">
        <f aca="false">-LBO!$D$18</f>
        <v>-67</v>
      </c>
      <c r="G44" s="24" t="n">
        <f aca="false">-LBO!$D$18</f>
        <v>-67</v>
      </c>
      <c r="H44" s="24" t="n">
        <f aca="false">-LBO!$D$18</f>
        <v>-67</v>
      </c>
    </row>
    <row r="45" customFormat="false" ht="15" hidden="false" customHeight="false" outlineLevel="0" collapsed="false">
      <c r="B45" s="23" t="s">
        <v>105</v>
      </c>
      <c r="C45" s="61" t="n">
        <f aca="false">LBO!$D$113</f>
        <v>46507</v>
      </c>
      <c r="D45" s="24" t="n">
        <f aca="false">LBO!E113*-(D43+D44)</f>
        <v>0</v>
      </c>
      <c r="E45" s="24" t="n">
        <f aca="false">LBO!F113*-(E43+E44)</f>
        <v>40.9416739123643</v>
      </c>
      <c r="F45" s="24" t="n">
        <f aca="false">LBO!G113*-(F43+F44)</f>
        <v>83.4330920941825</v>
      </c>
      <c r="G45" s="24" t="n">
        <f aca="false">LBO!H113*-(G43+G44)</f>
        <v>125.924510276001</v>
      </c>
      <c r="H45" s="24" t="n">
        <f aca="false">LBO!I113*-(H43+H44)</f>
        <v>168.415928457819</v>
      </c>
    </row>
    <row r="46" customFormat="false" ht="15" hidden="false" customHeight="false" outlineLevel="0" collapsed="false">
      <c r="B46" s="42" t="s">
        <v>135</v>
      </c>
      <c r="D46" s="32" t="n">
        <f aca="false">IF(D45&gt;0,XIRR(D43:D45,$C43:$C45),-1)</f>
        <v>-1</v>
      </c>
      <c r="E46" s="32" t="n">
        <f aca="false">IF(E45&gt;0,XIRR(E43:E45,$C43:$C45),-1)</f>
        <v>-0.263166389315216</v>
      </c>
      <c r="F46" s="32" t="n">
        <f aca="false">IF(F45&gt;0,XIRR(F43:F45,$C43:$C45),-1)</f>
        <v>-0.0635795593324971</v>
      </c>
      <c r="G46" s="32" t="n">
        <f aca="false">IF(G45&gt;0,XIRR(G43:G45,$C43:$C45),-1)</f>
        <v>0.0624167372200015</v>
      </c>
      <c r="H46" s="32" t="n">
        <f aca="false">IF(H45&gt;0,XIRR(H43:H45,$C43:$C45),-1)</f>
        <v>0.15572877334642</v>
      </c>
    </row>
    <row r="48" customFormat="false" ht="15" hidden="false" customHeight="false" outlineLevel="0" collapsed="false">
      <c r="B48" s="23" t="s">
        <v>138</v>
      </c>
      <c r="C48" s="61" t="n">
        <f aca="false">LBO!$D$7</f>
        <v>44652</v>
      </c>
      <c r="D48" s="24" t="n">
        <f aca="false">-(LBO!$D$8*LBO!$D$9-LBO!$D$13-LBO!$D$15)</f>
        <v>-36</v>
      </c>
      <c r="E48" s="24" t="n">
        <f aca="false">-(LBO!$D$8*LBO!$D$9-LBO!$D$13-LBO!$D$15)</f>
        <v>-36</v>
      </c>
      <c r="F48" s="24" t="n">
        <f aca="false">-(LBO!$D$8*LBO!$D$9-LBO!$D$13-LBO!$D$15)</f>
        <v>-36</v>
      </c>
      <c r="G48" s="24" t="n">
        <f aca="false">-(LBO!$D$8*LBO!$D$9-LBO!$D$13-LBO!$D$15)</f>
        <v>-36</v>
      </c>
      <c r="H48" s="24" t="n">
        <f aca="false">-(LBO!$D$8*LBO!$D$9-LBO!$D$13-LBO!$D$15)</f>
        <v>-36</v>
      </c>
    </row>
    <row r="49" customFormat="false" ht="15" hidden="false" customHeight="false" outlineLevel="0" collapsed="false">
      <c r="B49" s="23" t="s">
        <v>104</v>
      </c>
      <c r="C49" s="61" t="n">
        <f aca="false">LBO!$D$17</f>
        <v>45672</v>
      </c>
      <c r="D49" s="24" t="n">
        <f aca="false">-LBO!$D$18</f>
        <v>-67</v>
      </c>
      <c r="E49" s="24" t="n">
        <f aca="false">-LBO!$D$18</f>
        <v>-67</v>
      </c>
      <c r="F49" s="24" t="n">
        <f aca="false">-LBO!$D$18</f>
        <v>-67</v>
      </c>
      <c r="G49" s="24" t="n">
        <f aca="false">-LBO!$D$18</f>
        <v>-67</v>
      </c>
      <c r="H49" s="24" t="n">
        <f aca="false">-LBO!$D$18</f>
        <v>-67</v>
      </c>
    </row>
    <row r="50" customFormat="false" ht="15" hidden="false" customHeight="false" outlineLevel="0" collapsed="false">
      <c r="B50" s="23" t="s">
        <v>105</v>
      </c>
      <c r="C50" s="61" t="n">
        <f aca="false">LBO!$D$114</f>
        <v>46690</v>
      </c>
      <c r="D50" s="24" t="n">
        <f aca="false">LBO!E114*-(D48+D49)</f>
        <v>0</v>
      </c>
      <c r="E50" s="24" t="n">
        <f aca="false">LBO!F114*-(E48+E49)</f>
        <v>30.9193465346214</v>
      </c>
      <c r="F50" s="24" t="n">
        <f aca="false">LBO!G114*-(F48+F49)</f>
        <v>73.4107647164395</v>
      </c>
      <c r="G50" s="24" t="n">
        <f aca="false">LBO!H114*-(G48+G49)</f>
        <v>115.902182898258</v>
      </c>
      <c r="H50" s="24" t="n">
        <f aca="false">LBO!I114*-(H48+H49)</f>
        <v>158.393601080076</v>
      </c>
    </row>
    <row r="51" customFormat="false" ht="15" hidden="false" customHeight="false" outlineLevel="0" collapsed="false">
      <c r="B51" s="42" t="s">
        <v>135</v>
      </c>
      <c r="D51" s="32" t="n">
        <f aca="false">IF(D50&gt;0,XIRR(D48:D50,$C48:$C50),-1)</f>
        <v>-1</v>
      </c>
      <c r="E51" s="32" t="n">
        <f aca="false">IF(E50&gt;0,XIRR(E48:E50,$C48:$C50),-1)</f>
        <v>-0.291232633593037</v>
      </c>
      <c r="F51" s="32" t="n">
        <f aca="false">IF(F50&gt;0,XIRR(F48:F50,$C48:$C50),-1)</f>
        <v>-0.0877720273887756</v>
      </c>
      <c r="G51" s="32" t="n">
        <f aca="false">IF(G50&gt;0,XIRR(G48:G50,$C48:$C50),-1)</f>
        <v>0.0315984647182028</v>
      </c>
      <c r="H51" s="32" t="n">
        <f aca="false">IF(H50&gt;0,XIRR(H48:H50,$C48:$C50),-1)</f>
        <v>0.117707388124532</v>
      </c>
    </row>
    <row r="53" customFormat="false" ht="15" hidden="false" customHeight="false" outlineLevel="0" collapsed="false">
      <c r="B53" s="23" t="s">
        <v>139</v>
      </c>
      <c r="C53" s="61" t="n">
        <f aca="false">LBO!$D$7</f>
        <v>44652</v>
      </c>
      <c r="D53" s="24" t="n">
        <f aca="false">-(LBO!$D$8*LBO!$D$9-LBO!$D$13-LBO!$D$15)</f>
        <v>-36</v>
      </c>
      <c r="E53" s="24" t="n">
        <f aca="false">-(LBO!$D$8*LBO!$D$9-LBO!$D$13-LBO!$D$15)</f>
        <v>-36</v>
      </c>
      <c r="F53" s="24" t="n">
        <f aca="false">-(LBO!$D$8*LBO!$D$9-LBO!$D$13-LBO!$D$15)</f>
        <v>-36</v>
      </c>
      <c r="G53" s="24" t="n">
        <f aca="false">-(LBO!$D$8*LBO!$D$9-LBO!$D$13-LBO!$D$15)</f>
        <v>-36</v>
      </c>
      <c r="H53" s="24" t="n">
        <f aca="false">-(LBO!$D$8*LBO!$D$9-LBO!$D$13-LBO!$D$15)</f>
        <v>-36</v>
      </c>
    </row>
    <row r="54" customFormat="false" ht="15" hidden="false" customHeight="false" outlineLevel="0" collapsed="false">
      <c r="B54" s="23" t="s">
        <v>104</v>
      </c>
      <c r="C54" s="61" t="n">
        <f aca="false">LBO!$D$17</f>
        <v>45672</v>
      </c>
      <c r="D54" s="24" t="n">
        <f aca="false">-LBO!$D$18</f>
        <v>-67</v>
      </c>
      <c r="E54" s="24" t="n">
        <f aca="false">-LBO!$D$18</f>
        <v>-67</v>
      </c>
      <c r="F54" s="24" t="n">
        <f aca="false">-LBO!$D$18</f>
        <v>-67</v>
      </c>
      <c r="G54" s="24" t="n">
        <f aca="false">-LBO!$D$18</f>
        <v>-67</v>
      </c>
      <c r="H54" s="24" t="n">
        <f aca="false">-LBO!$D$18</f>
        <v>-67</v>
      </c>
    </row>
    <row r="55" customFormat="false" ht="15" hidden="false" customHeight="false" outlineLevel="0" collapsed="false">
      <c r="B55" s="23" t="s">
        <v>105</v>
      </c>
      <c r="C55" s="61" t="n">
        <f aca="false">LBO!$D$115</f>
        <v>46873</v>
      </c>
      <c r="D55" s="24" t="n">
        <f aca="false">LBO!E115*-(D53+D54)</f>
        <v>0</v>
      </c>
      <c r="E55" s="24" t="n">
        <f aca="false">LBO!F115*-(E53+E54)</f>
        <v>20.4668358701895</v>
      </c>
      <c r="F55" s="24" t="n">
        <f aca="false">LBO!G115*-(F53+F54)</f>
        <v>62.9582540520077</v>
      </c>
      <c r="G55" s="24" t="n">
        <f aca="false">LBO!H115*-(G53+G54)</f>
        <v>105.449672233826</v>
      </c>
      <c r="H55" s="24" t="n">
        <f aca="false">LBO!I115*-(H53+H54)</f>
        <v>147.941090415644</v>
      </c>
    </row>
    <row r="56" customFormat="false" ht="15" hidden="false" customHeight="false" outlineLevel="0" collapsed="false">
      <c r="B56" s="42" t="s">
        <v>135</v>
      </c>
      <c r="D56" s="32" t="n">
        <f aca="false">IF(D55&gt;0,XIRR(D53:D55,$C53:$C55),-1)</f>
        <v>-1</v>
      </c>
      <c r="E56" s="32" t="n">
        <f aca="false">IF(E55&gt;0,XIRR(E53:E55,$C53:$C55),-1)</f>
        <v>-0.335372004030273</v>
      </c>
      <c r="F56" s="32" t="n">
        <f aca="false">IF(F55&gt;0,XIRR(F53:F55,$C53:$C55),-1)</f>
        <v>-0.111445938042133</v>
      </c>
      <c r="G56" s="32" t="n">
        <f aca="false">IF(G55&gt;0,XIRR(G53:G55,$C53:$C55),-1)</f>
        <v>0.00551718963570952</v>
      </c>
      <c r="H56" s="32" t="n">
        <f aca="false">IF(H55&gt;0,XIRR(H53:H55,$C53:$C55),-1)</f>
        <v>0.0869513490876673</v>
      </c>
    </row>
    <row r="70" customFormat="false" ht="15" hidden="false" customHeight="false" outlineLevel="0" collapsed="false">
      <c r="B70" s="10" t="s">
        <v>141</v>
      </c>
      <c r="D70" s="49" t="str">
        <f aca="false">TEXT(LBO!D51,"mmm-yy")</f>
        <v>Apr-22</v>
      </c>
      <c r="E70" s="49" t="str">
        <f aca="false">TEXT(LBO!E51,"mmm-yy")</f>
        <v>Apr-23</v>
      </c>
      <c r="F70" s="49" t="str">
        <f aca="false">TEXT(LBO!F51,"mmm-yy")</f>
        <v>Apr-24</v>
      </c>
      <c r="G70" s="49" t="str">
        <f aca="false">TEXT(LBO!G51,"mmm-yy")</f>
        <v>Apr-25</v>
      </c>
      <c r="H70" s="49" t="str">
        <f aca="false">TEXT(LBO!H51,"mmm-yy")</f>
        <v>Apr-26</v>
      </c>
      <c r="I70" s="49" t="str">
        <f aca="false">TEXT(LBO!I51,"mmm-yy")</f>
        <v>Apr-27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2026-10-14T21:37:46Z</dcterms:created>
  <dc:creator>openpyxl</dc:creator>
  <dc:description/>
  <dc:language>en-US</dc:language>
  <cp:lastModifiedBy/>
  <dcterms:modified xsi:type="dcterms:W3CDTF">2026-10-14T23:37:47Z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